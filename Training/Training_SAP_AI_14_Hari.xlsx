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Jadwal" sheetId="2" state="visible" r:id="rId4"/>
    <sheet name="Aturan &amp; Server" sheetId="3" state="visible" r:id="rId5"/>
    <sheet name="Day 01" sheetId="4" state="visible" r:id="rId6"/>
    <sheet name="Day 02" sheetId="5" state="visible" r:id="rId7"/>
    <sheet name="Day 03" sheetId="6" state="visible" r:id="rId8"/>
    <sheet name="Day 04" sheetId="7" state="visible" r:id="rId9"/>
    <sheet name="Day 05" sheetId="8" state="visible" r:id="rId10"/>
    <sheet name="Day 06" sheetId="9" state="visible" r:id="rId11"/>
    <sheet name="Day 07" sheetId="10" state="visible" r:id="rId12"/>
    <sheet name="Day 08" sheetId="11" state="visible" r:id="rId13"/>
    <sheet name="Day 09" sheetId="12" state="visible" r:id="rId14"/>
    <sheet name="Day 10" sheetId="13" state="visible" r:id="rId15"/>
    <sheet name="Day 11" sheetId="14" state="visible" r:id="rId16"/>
    <sheet name="Day 12" sheetId="15" state="visible" r:id="rId17"/>
    <sheet name="Day 13" sheetId="16" state="visible" r:id="rId18"/>
    <sheet name="Day 14" sheetId="17" state="visible" r:id="rId19"/>
    <sheet name="Kuis &amp; Kunci" sheetId="18" state="visible" r:id="rId20"/>
    <sheet name="Skills" sheetId="19" state="visible" r:id="rId21"/>
    <sheet name="Glosarium" sheetId="20" state="visible" r:id="rId22"/>
  </sheets>
  <definedNames>
    <definedName function="false" hidden="true" localSheetId="19" name="_xlnm._FilterDatabase" vbProcedure="false">Glosarium!$B$6:$C$37</definedName>
    <definedName function="false" hidden="true" localSheetId="1" name="_xlnm._FilterDatabase" vbProcedure="false">Jadwal!$B$6:$M$20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<sst xmlns="http://schemas.openxmlformats.org/spreadsheetml/2006/main" count="1987" uniqueCount="1202">
  <si>
    <t xml:space="preserve">Training SAP dengan AI — 14 Hari</t>
  </si>
  <si>
    <t xml:space="preserve">Belajar SAP ECC (PT Trias Sentosa) dengan bantuan AI. Setiap hari: 1 program + 2 flow.</t>
  </si>
  <si>
    <t xml:space="preserve">Tujuan Program</t>
  </si>
  <si>
    <t xml:space="preserve">Progress</t>
  </si>
  <si>
    <t xml:space="preserve">•</t>
  </si>
  <si>
    <t xml:space="preserve">Memahami proses bisnis SAP (MM, PP, QM, FI) dari kasus nyata perusahaan.</t>
  </si>
  <si>
    <t xml:space="preserve">Total hari</t>
  </si>
  <si>
    <t xml:space="preserve">Mampu membuat program ABAP sederhana sampai menengah dengan bantuan AI, di Sandbox.</t>
  </si>
  <si>
    <t xml:space="preserve">Selesai</t>
  </si>
  <si>
    <t xml:space="preserve">Mampu menganalisa masalah di Production secara aman (hanya baca) dan menyusun rekomendasi.</t>
  </si>
  <si>
    <t xml:space="preserve">Sedang proses</t>
  </si>
  <si>
    <t xml:space="preserve">% selesai</t>
  </si>
  <si>
    <t xml:space="preserve">Setiap Hari Menghasilkan</t>
  </si>
  <si>
    <t xml:space="preserve">Rata-rata pemahaman</t>
  </si>
  <si>
    <t xml:space="preserve">1. Program</t>
  </si>
  <si>
    <t xml:space="preserve">Program ZTRN_&lt;INISIAL&gt;_D&lt;NN&gt; di Sandbox New Company — dibuat dengan AI, dijalankan &amp; diuji sendiri.</t>
  </si>
  <si>
    <t xml:space="preserve">2. Flow</t>
  </si>
  <si>
    <t xml:space="preserve">Flow A = proses bisnis, Flow B = logika program (format Mermaid).</t>
  </si>
  <si>
    <t xml:space="preserve">3. Catatan</t>
  </si>
  <si>
    <t xml:space="preserve">Jawaban tugas &amp; kuis, bukti hasil program.</t>
  </si>
  <si>
    <t xml:space="preserve">Tiga Aturan Emas</t>
  </si>
  <si>
    <t xml:space="preserve">Production AIX</t>
  </si>
  <si>
    <t xml:space="preserve">Hanya baca. Tidak ada perubahan data, program, atau konfigurasi.</t>
  </si>
  <si>
    <t xml:space="preserve">Sandbox New</t>
  </si>
  <si>
    <t xml:space="preserve">Semua program dibuat &amp; diubah hanya di sandbox-new, package $TMP, nama ZTRN_.</t>
  </si>
  <si>
    <t xml:space="preserve">AI</t>
  </si>
  <si>
    <t xml:space="preserve">Asisten, bukan sumber kebenaran. Jawaban AI selalu dicek ke sistem.</t>
  </si>
  <si>
    <t xml:space="preserve">Cara Memakai Workbook</t>
  </si>
  <si>
    <t xml:space="preserve">Jadwal</t>
  </si>
  <si>
    <t xml:space="preserve">Daftar 14 hari + kolom progres yang diisi (sel kuning). Klik "Day" untuk membuka detail.</t>
  </si>
  <si>
    <t xml:space="preserve">Day 01 … Day 14</t>
  </si>
  <si>
    <t xml:space="preserve">Detail tiap hari: tujuan, kasus, program, flow, langkah dengan AI, tugas, checklist.</t>
  </si>
  <si>
    <t xml:space="preserve">Kuis &amp; Kunci</t>
  </si>
  <si>
    <t xml:space="preserve">Soal kuis dan kunci jawaban per hari.</t>
  </si>
  <si>
    <t xml:space="preserve">Aturan &amp; Server</t>
  </si>
  <si>
    <t xml:space="preserve">Server yang dipakai dan batasannya.</t>
  </si>
  <si>
    <t xml:space="preserve">Skills, Glosarium</t>
  </si>
  <si>
    <t xml:space="preserve">Skill AI yang dipakai, dan daftar istilah SAP.</t>
  </si>
  <si>
    <t xml:space="preserve">Detail teknis</t>
  </si>
  <si>
    <t xml:space="preserve">Contoh kode lengkap ada di file .md folder 02_STUDY_CASE (bagian "Kunci jawaban").</t>
  </si>
  <si>
    <t xml:space="preserve">Jadwal &amp; Progress</t>
  </si>
  <si>
    <t xml:space="preserve">Isi kolom kuning: Status, Tgl selesai, Pemahaman, Catatan. Ringkasan di sheet "Ringkasan" terhitung otomatis.</t>
  </si>
  <si>
    <t xml:space="preserve">Day</t>
  </si>
  <si>
    <t xml:space="preserve">Fase</t>
  </si>
  <si>
    <t xml:space="preserve">Topik</t>
  </si>
  <si>
    <t xml:space="preserve">Modul</t>
  </si>
  <si>
    <t xml:space="preserve">Level</t>
  </si>
  <si>
    <t xml:space="preserve">Program yang dibuat</t>
  </si>
  <si>
    <t xml:space="preserve">Flow utama</t>
  </si>
  <si>
    <t xml:space="preserve">Durasi</t>
  </si>
  <si>
    <t xml:space="preserve">Status</t>
  </si>
  <si>
    <t xml:space="preserve">Tgl selesai</t>
  </si>
  <si>
    <t xml:space="preserve">Pemahaman
(1–5)</t>
  </si>
  <si>
    <t xml:space="preserve">Catatan</t>
  </si>
  <si>
    <t xml:space="preserve">Day 01</t>
  </si>
  <si>
    <t xml:space="preserve">Dasar MM &amp; ABAP</t>
  </si>
  <si>
    <t xml:space="preserve">Report Purchase Order Sederhana</t>
  </si>
  <si>
    <t xml:space="preserve">MM</t>
  </si>
  <si>
    <t xml:space="preserve">★★</t>
  </si>
  <si>
    <t xml:space="preserve">PO list (EKKO/EKPO) + ALV</t>
  </si>
  <si>
    <t xml:space="preserve">Procure to Pay</t>
  </si>
  <si>
    <t xml:space="preserve">3 jam</t>
  </si>
  <si>
    <t xml:space="preserve">Belum</t>
  </si>
  <si>
    <t xml:space="preserve">Day 02</t>
  </si>
  <si>
    <t xml:space="preserve">Report PO Monitoring (Join + Agregasi)</t>
  </si>
  <si>
    <t xml:space="preserve">★★★</t>
  </si>
  <si>
    <t xml:space="preserve">PO vs GR vs sisa, status lampu, klik ke ME23N</t>
  </si>
  <si>
    <t xml:space="preserve">Status PO sampai diterima penuh</t>
  </si>
  <si>
    <t xml:space="preserve">3–4 jam</t>
  </si>
  <si>
    <t xml:space="preserve">Day 03</t>
  </si>
  <si>
    <t xml:space="preserve">Program Transaksi: Transfer Posting</t>
  </si>
  <si>
    <t xml:space="preserve">Transfer 311 via BAPI + test run</t>
  </si>
  <si>
    <t xml:space="preserve">Transfer stok antar SLoc</t>
  </si>
  <si>
    <t xml:space="preserve">Day 04</t>
  </si>
  <si>
    <t xml:space="preserve">Report + Posting dalam 1 Program</t>
  </si>
  <si>
    <t xml:space="preserve">Radio Report / Posting (modifikasi Day 03)</t>
  </si>
  <si>
    <t xml:space="preserve">Cek stok → transfer → histori</t>
  </si>
  <si>
    <t xml:space="preserve">Day 05</t>
  </si>
  <si>
    <t xml:space="preserve">PO Exception Email</t>
  </si>
  <si>
    <t xml:space="preserve">Rule ZMAP_TYPE + email HTML &amp; Excel</t>
  </si>
  <si>
    <t xml:space="preserve">PO → exception → approver</t>
  </si>
  <si>
    <t xml:space="preserve">4 jam</t>
  </si>
  <si>
    <t xml:space="preserve">Day 06</t>
  </si>
  <si>
    <t xml:space="preserve">Analisa modul</t>
  </si>
  <si>
    <t xml:space="preserve">Status Production Order &amp; Auto TECO</t>
  </si>
  <si>
    <t xml:space="preserve">PP</t>
  </si>
  <si>
    <t xml:space="preserve">TECO Readiness Checker</t>
  </si>
  <si>
    <t xml:space="preserve">Siklus status order</t>
  </si>
  <si>
    <t xml:space="preserve">Day 07</t>
  </si>
  <si>
    <t xml:space="preserve">Movement Type, Reversal &amp; GI JR Closing</t>
  </si>
  <si>
    <t xml:space="preserve">MM/PP</t>
  </si>
  <si>
    <t xml:space="preserve">GR vs GI per order, 3 mode</t>
  </si>
  <si>
    <t xml:space="preserve">Produksi JR &amp; closing</t>
  </si>
  <si>
    <t xml:space="preserve">Day 08</t>
  </si>
  <si>
    <t xml:space="preserve">Batch Characteristic (CABN/AUSP)</t>
  </si>
  <si>
    <t xml:space="preserve">PP/QM</t>
  </si>
  <si>
    <t xml:space="preserve">★★★★</t>
  </si>
  <si>
    <t xml:space="preserve">Pivot karakteristik batch</t>
  </si>
  <si>
    <t xml:space="preserve">Upload SR → karakteristik</t>
  </si>
  <si>
    <t xml:space="preserve">Day 09</t>
  </si>
  <si>
    <t xml:space="preserve">Develop Aplikasi Z: Tabel, Lock &amp; Log</t>
  </si>
  <si>
    <t xml:space="preserve">PP/ABAP</t>
  </si>
  <si>
    <t xml:space="preserve">Tabel Z + lock object + SM30 + program counter &amp; log</t>
  </si>
  <si>
    <t xml:space="preserve">Koreksi nomor roll</t>
  </si>
  <si>
    <t xml:space="preserve">Day 10</t>
  </si>
  <si>
    <t xml:space="preserve">FICO: Upload Faktur &amp; Jejak Audit</t>
  </si>
  <si>
    <t xml:space="preserve">FI</t>
  </si>
  <si>
    <t xml:space="preserve">Upload file + audit checker (simulasi)</t>
  </si>
  <si>
    <t xml:space="preserve">Faktur pajak → audit</t>
  </si>
  <si>
    <t xml:space="preserve">Day 11</t>
  </si>
  <si>
    <t xml:space="preserve">QM: Pending Lot + Mass Usage Decision</t>
  </si>
  <si>
    <t xml:space="preserve">QM</t>
  </si>
  <si>
    <t xml:space="preserve">Report lot pending + transaksi UD massal</t>
  </si>
  <si>
    <t xml:space="preserve">GR → uji → UD → stok release</t>
  </si>
  <si>
    <t xml:space="preserve">Day 12</t>
  </si>
  <si>
    <t xml:space="preserve">Lanjutan</t>
  </si>
  <si>
    <t xml:space="preserve">Performance: Index &amp; Data Besar</t>
  </si>
  <si>
    <t xml:space="preserve">MM/ABAP</t>
  </si>
  <si>
    <t xml:space="preserve">3 mode: lambat / index / package size</t>
  </si>
  <si>
    <t xml:space="preserve">Akses database per mode</t>
  </si>
  <si>
    <t xml:space="preserve">Day 13</t>
  </si>
  <si>
    <t xml:space="preserve">Transaksi Sulit: Process Order End-to-End</t>
  </si>
  <si>
    <t xml:space="preserve">PP/MM</t>
  </si>
  <si>
    <t xml:space="preserve">★★★★★</t>
  </si>
  <si>
    <t xml:space="preserve">Create → release → GI/GR → confirm → TECO + cancel</t>
  </si>
  <si>
    <t xml:space="preserve">Siklus order + kompensasi</t>
  </si>
  <si>
    <t xml:space="preserve">5 jam</t>
  </si>
  <si>
    <t xml:space="preserve">Day 14</t>
  </si>
  <si>
    <t xml:space="preserve">Capstone: ZPP001L Slitting + Packing</t>
  </si>
  <si>
    <t xml:space="preserve">PP/MM/SD</t>
  </si>
  <si>
    <t xml:space="preserve">Copy ZPP001L + step packing ZHU5SO/FS + unpack saat cancel</t>
  </si>
  <si>
    <t xml:space="preserve">Slitting → alokasi → packing → TECO</t>
  </si>
  <si>
    <t xml:space="preserve">5–6 jam</t>
  </si>
  <si>
    <t xml:space="preserve">Keterangan</t>
  </si>
  <si>
    <t xml:space="preserve">Sel kuning</t>
  </si>
  <si>
    <t xml:space="preserve">diisi peserta</t>
  </si>
  <si>
    <t xml:space="preserve">★★ dasar … ★★★★★ paling sulit</t>
  </si>
  <si>
    <t xml:space="preserve">SBX</t>
  </si>
  <si>
    <t xml:space="preserve">Sandbox New Company (boleh membuat program)</t>
  </si>
  <si>
    <t xml:space="preserve">PRD-RO</t>
  </si>
  <si>
    <t xml:space="preserve">Production AIX, hanya baca</t>
  </si>
  <si>
    <t xml:space="preserve">Contoh pengisian (tidak dihitung):</t>
  </si>
  <si>
    <t xml:space="preserve">03-11-2026</t>
  </si>
  <si>
    <t xml:space="preserve">Paham JOIN EKKO-EKPO, perlu latihan ALV total</t>
  </si>
  <si>
    <t xml:space="preserve">Wajib dibaca sebelum Day 01.</t>
  </si>
  <si>
    <t xml:space="preserve">Sistem yang Dipakai</t>
  </si>
  <si>
    <t xml:space="preserve">Alias MCP</t>
  </si>
  <si>
    <t xml:space="preserve">Nama  |  SID / Host  |  Fungsi untuk training  |  Boleh ubah?</t>
  </si>
  <si>
    <t xml:space="preserve">sandbox-new</t>
  </si>
  <si>
    <t xml:space="preserve">Sandbox New Company
TRS, client 130, 192.168.6.243
Latihan coding, membuat &amp; mengubah program
Ya (hanya program ZTRN_*, package $TMP)</t>
  </si>
  <si>
    <t xml:space="preserve">dev-aix / dev</t>
  </si>
  <si>
    <t xml:space="preserve">Development AIX
TRD, 192.168.2.8
Membaca source program versi development
Tidak</t>
  </si>
  <si>
    <t xml:space="preserve">qa</t>
  </si>
  <si>
    <t xml:space="preserve">QA
TRQ, 192.168.2.7
Tidak dipakai di training
Tidak</t>
  </si>
  <si>
    <t xml:space="preserve">prod</t>
  </si>
  <si>
    <t xml:space="preserve">Production AIX
PRT, 192.168.1.151
Analisa data &amp; program nyata
Tidak. Read-only.</t>
  </si>
  <si>
    <t xml:space="preserve">Cek alias aktual dengan prompt: *"Jalankan list_servers dan tampilkan semua server SAP yang tersedia."*</t>
  </si>
  <si>
    <t xml:space="preserve">Catatan: tanggal sistem Sandbox New Company tidak sinkron dengan kalender nyata. Jika butuh tanggal server, panggil FM GET_SYSTEM_TIME_REMOTE (baca L_DATE).</t>
  </si>
  <si>
    <t xml:space="preserve">Versi sistem: SAP ECC 6.0 EHP6, NetWeaver 7.31, ABAP 7.31, database Oracle.</t>
  </si>
  <si>
    <t xml:space="preserve">---</t>
  </si>
  <si>
    <t xml:space="preserve">Alur Transport (Landscape)</t>
  </si>
  <si>
    <t xml:space="preserve"> Sandbox New (TRS)      Development (TRD)      Quality (QAS)      Production (PRT)
  latihan &amp; prototipe -&gt; develop resmi + TR  -&gt; uji user (UAT) -&gt; dipakai operasional</t>
  </si>
  <si>
    <t xml:space="preserve">Training berhenti di Sandbox. Tidak ada transport request yang dibuat dari kegiatan training.</t>
  </si>
  <si>
    <t xml:space="preserve">Program resmi berpindah ke Production hanya lewat Transport Request (SE09/SE10, STMS) oleh tim ABAP/Basis.</t>
  </si>
  <si>
    <t xml:space="preserve">Aturan Production AIX (Read-Only)</t>
  </si>
  <si>
    <t xml:space="preserve">Boleh:</t>
  </si>
  <si>
    <t xml:space="preserve">Membaca tabel (read_table, setara SE16N) dengan filter yang jelas dan jumlah baris terbatas (ROWCOUNT ≤ 200).</t>
  </si>
  <si>
    <t xml:space="preserve">Membaca source program/FM/class (read_program, read_function_module, read_class).</t>
  </si>
  <si>
    <t xml:space="preserve">Membaca struktur tabel (read_table_structure, setara SE11).</t>
  </si>
  <si>
    <t xml:space="preserve">Where-used (get_where_used).</t>
  </si>
  <si>
    <t xml:space="preserve">Dilarang:</t>
  </si>
  <si>
    <t xml:space="preserve">call_function ke FM/BAPI yang mengubah data (contoh: BAPI_GOODSMVT_CREATE, BAPI_GOODSMVT_CANCEL, Z_RFC_PROGRAM_UPDATE, RFC_ABAP_INSTALL_AND_RUN).</t>
  </si>
  <si>
    <t xml:space="preserve">Menjalankan transaksi posting via GUI (MIGO, CO11N, QA11, dsb.).</t>
  </si>
  <si>
    <t xml:space="preserve">Membaca tabel besar tanpa filter (MSEG, BSEG, AUSP, JEST tanpa WHERE = beban berat ke server Production).</t>
  </si>
  <si>
    <t xml:space="preserve">Menyalin data pribadi/sensitif (gaji, NIK, data customer) ke luar sistem.</t>
  </si>
  <si>
    <t xml:space="preserve">Setelah selesai sesi GUI di Production: logout.</t>
  </si>
  <si>
    <t xml:space="preserve">Aturan Sandbox New Company (Write)</t>
  </si>
  <si>
    <t xml:space="preserve">1.</t>
  </si>
  <si>
    <t xml:space="preserve">set_active_server → sandbox-new sebelum setiap operasi tulis.</t>
  </si>
  <si>
    <t xml:space="preserve">2.</t>
  </si>
  <si>
    <t xml:space="preserve">Nama program training: ZTRN_&lt;INISIAL&gt;_D&lt;NN&gt; (contoh ZTRN_BP_D04). Jangan menimpa program yang bukan milik training.</t>
  </si>
  <si>
    <t xml:space="preserve">3.</t>
  </si>
  <si>
    <t xml:space="preserve">Package: $TMP (lokal, tidak ditransport).</t>
  </si>
  <si>
    <t xml:space="preserve">4.</t>
  </si>
  <si>
    <t xml:space="preserve">Push program: FM Z_RFC_PROGRAM_UPDATE (parameter IV_PROGRAM_NAME, IV_PACKAGE = '$TMP', IT_SOURCE). Cek EV_SUCCESS = 'X'.</t>
  </si>
  <si>
    <t xml:space="preserve">5.</t>
  </si>
  <si>
    <t xml:space="preserve">Sebelum mengubah program yang sudah ada, baca dan simpan backup source lama.</t>
  </si>
  <si>
    <t xml:space="preserve">Aturan Sintaks ABAP 7.31</t>
  </si>
  <si>
    <t xml:space="preserve">Sistem ini ABAP 7.31. Fitur ABAP 7.40+ tidak tersedia. Jika AI memberi kode dengan fitur di kolom kiri, minta AI menulis ulang.</t>
  </si>
  <si>
    <t xml:space="preserve">Dilarang (7.40+)</t>
  </si>
  <si>
    <t xml:space="preserve">Gunakan (7.31)</t>
  </si>
  <si>
    <t xml:space="preserve">DATA(lv_x) = ...</t>
  </si>
  <si>
    <t xml:space="preserve">Deklarasi di blok DATA: dulu</t>
  </si>
  <si>
    <t xml:space="preserve">LOOP AT itab INTO DATA(ls)</t>
  </si>
  <si>
    <t xml:space="preserve">DATA ls TYPE ... lalu LOOP AT itab INTO ls</t>
  </si>
  <si>
    <t xml:space="preserve">Halo { lv_nama }
CONCATENATE 'Halo' lv_nama INTO lv_txt SEPARATED BY space.</t>
  </si>
  <si>
    <t xml:space="preserve">NEW, VALUE, REDUCE, CORRESPONDING, FILTER</t>
  </si>
  <si>
    <t xml:space="preserve">CREATE OBJECT, APPEND, MOVE-CORRESPONDING</t>
  </si>
  <si>
    <t xml:space="preserve">SELECT ... WHERE x = @lv_x</t>
  </si>
  <si>
    <t xml:space="preserve">SELECT ... WHERE x = lv_x (tanpa @, pemisah field spasi)</t>
  </si>
  <si>
    <t xml:space="preserve">Aturan Integritas Data (penting saat analisa)</t>
  </si>
  <si>
    <t xml:space="preserve">Dokumen batal (reversal): saat menghitung movement, selalu perhitungkan pasangan pembatal (101↔102, 261↔262, 531↔532). Cek field MSEG-SMBLN / SJAHR.</t>
  </si>
  <si>
    <t xml:space="preserve">Status order: order berstatus TECO, DLV, CLSD tidak boleh diproses ulang oleh interface/program.</t>
  </si>
  <si>
    <t xml:space="preserve">Tidak boleh update langsung tabel standar (MARA, EKKO, VBAK, MSEG, BKPF ...) — selalu lewat BAPI/FM standar.</t>
  </si>
  <si>
    <t xml:space="preserve">Setelah BAPI yang mengubah data: cek RETURN; error → BAPI_TRANSACTION_ROLLBACK; sukses → BAPI_TRANSACTION_COMMIT dengan WAIT = 'X'.</t>
  </si>
  <si>
    <t xml:space="preserve">Pola Prompt yang Efektif</t>
  </si>
  <si>
    <t xml:space="preserve">Format umum:</t>
  </si>
  <si>
    <t xml:space="preserve">[Konteks]   Saya sedang belajar Day 06. Server: prod (read-only).
[Tugas]     Jelaskan arti status order I0045 dan cara membacanya dari JEST.
[Batasan]   Hanya baca. Maksimal 50 baris data. Pakai ABAP 7.31.
[Format]    Jelaskan dengan bahasa awam dulu, lalu detail teknis + TCODE.</t>
  </si>
  <si>
    <t xml:space="preserve">Contoh prompt yang baik:</t>
  </si>
  <si>
    <t xml:space="preserve">*"Pakai skill pp-analisa-production. Baca tabel AUFK di server prod untuk order 100007232823, lalu jelaskan arti setiap field penting dalam bahasa awam."*</t>
  </si>
  <si>
    <t xml:space="preserve">*"Saya tidak paham FOR ALL ENTRIES. Jelaskan dengan analogi sehari-hari, lalu beri contoh ABAP 7.31 yang benar dan satu contoh yang salah."*</t>
  </si>
  <si>
    <t xml:space="preserve">*"Cek jawabanmu tadi: apakah ada sintaks 7.40 di kodenya? Kalau ada, tulis ulang."*</t>
  </si>
  <si>
    <t xml:space="preserve">Contoh prompt yang kurang baik:</t>
  </si>
  <si>
    <t xml:space="preserve">*"Buatkan program PP."* → terlalu umum, tidak ada konteks/server/batasan.</t>
  </si>
  <si>
    <t xml:space="preserve">*"Perbaiki data di production."* → melanggar aturan read-only.</t>
  </si>
  <si>
    <t xml:space="preserve">Cara Memverifikasi Jawaban AI</t>
  </si>
  <si>
    <t xml:space="preserve">AI bisa salah (halusinasi nama tabel/field). Biasakan:</t>
  </si>
  <si>
    <t xml:space="preserve">Nama tabel/field → cek dengan read_table_structure atau SE11.</t>
  </si>
  <si>
    <t xml:space="preserve">Nama FM/BAPI → cek dengan SE37 atau read_function_module.</t>
  </si>
  <si>
    <t xml:space="preserve">Angka/data → cek dengan read_table atau SE16N.</t>
  </si>
  <si>
    <t xml:space="preserve">Logika program → baca source asli (read_program / SE38), jangan hanya ringkasan AI.</t>
  </si>
  <si>
    <t xml:space="preserve">Jika ragu, minta AI: *"Tunjukkan bukti dari sistem untuk klaim ini."*</t>
  </si>
  <si>
    <t xml:space="preserve">◀ kembali ke Jadwal</t>
  </si>
  <si>
    <t xml:space="preserve">Day 01 — Report Purchase Order Sederhana</t>
  </si>
  <si>
    <t xml:space="preserve">MM  •  SBX + PRD-RO  •  Level ★★  •  3 jam</t>
  </si>
  <si>
    <t xml:space="preserve">Tujuan</t>
  </si>
  <si>
    <t xml:space="preserve">Memahami alur Procure to Pay dan tabel inti Purchase Order (EKKO, EKPO).</t>
  </si>
  <si>
    <t xml:space="preserve">Membuat, push, dan menjalankan program ABAP pertama (report + ALV) di Sandbox New Company.</t>
  </si>
  <si>
    <t xml:space="preserve">Membuat flow pertama: flow bisnis PO dan flow logika program.</t>
  </si>
  <si>
    <t xml:space="preserve">Yang Dihasilkan</t>
  </si>
  <si>
    <t xml:space="preserve">#</t>
  </si>
  <si>
    <t xml:space="preserve">Deliverable</t>
  </si>
  <si>
    <t xml:space="preserve">1</t>
  </si>
  <si>
    <t xml:space="preserve">Program ZTRN_&lt;INISIAL&gt;_D01 — daftar PO dengan filter, tampil di ALV</t>
  </si>
  <si>
    <t xml:space="preserve">2</t>
  </si>
  <si>
    <t xml:space="preserve">Flow A (Procure to Pay) + Flow B (logika program) dalam Mermaid</t>
  </si>
  <si>
    <t xml:space="preserve">3</t>
  </si>
  <si>
    <t xml:space="preserve">Catatan: 3 PO contoh dari output program, dicocokkan dengan ME23N</t>
  </si>
  <si>
    <t xml:space="preserve">Cerita Kasus</t>
  </si>
  <si>
    <t xml:space="preserve">Tim Purchasing setiap pagi membuka ME2N dengan banyak filter untuk melihat PO yang dibuat minggu ini. Manager Purchasing meminta report ringkas: PO apa saja yang dibuat pada periode tertentu, ke vendor siapa, material apa, berapa nilainya.</t>
  </si>
  <si>
    <t xml:space="preserve">Konsep Kunci</t>
  </si>
  <si>
    <t xml:space="preserve">Alur Procure to Pay (P2P):</t>
  </si>
  <si>
    <t xml:space="preserve">Tabel</t>
  </si>
  <si>
    <t xml:space="preserve">Isi  |  Field penting</t>
  </si>
  <si>
    <t xml:space="preserve">EKKO</t>
  </si>
  <si>
    <t xml:space="preserve">Header PO
EBELN no PO, BSART doc type, LIFNR vendor, EKORG purch. org, BEDAT tgl PO, WAERS currency</t>
  </si>
  <si>
    <t xml:space="preserve">EKPO</t>
  </si>
  <si>
    <t xml:space="preserve">Item PO
EBELP item, MATNR, TXZ01 teks item, WERKS, MENGE, MEINS, NETPR, NETWR, LOEKZ (hapus)</t>
  </si>
  <si>
    <t xml:space="preserve">LOEKZ = 'L' = item dihapus → tidak ditampilkan.</t>
  </si>
  <si>
    <t xml:space="preserve">ABAP hari ini: REPORT, TABLES, TYPES, DATA, SELECT-OPTIONS, SELECTION-SCREEN BLOCK, INITIALIZATION, START-OF-SELECTION, SELECT ... INNER JOIN, CL_SALV_TABLE.</t>
  </si>
  <si>
    <t xml:space="preserve">Spesifikasi Program</t>
  </si>
  <si>
    <t xml:space="preserve">Bagian</t>
  </si>
  <si>
    <t xml:space="preserve">Isi</t>
  </si>
  <si>
    <t xml:space="preserve">Input</t>
  </si>
  <si>
    <t xml:space="preserve">S_BEDAT (tgl PO, wajib, default bulan berjalan), S_EBELN, S_LIFNR, S_BSART, S_WERKS</t>
  </si>
  <si>
    <t xml:space="preserve">Proses</t>
  </si>
  <si>
    <t xml:space="preserve">EKKO INNER JOIN EKPO pada EBELN; item terhapus (LOEKZ = 'L') dibuang; maksimal 1.000 baris</t>
  </si>
  <si>
    <t xml:space="preserve">Output</t>
  </si>
  <si>
    <t xml:space="preserve">ALV: No PO, Item, Doc type, Tgl PO, Vendor, Material, Teks item, Plant, Qty, UoM, Net price, Net value, Currency</t>
  </si>
  <si>
    <t xml:space="preserve">Fitur ALV</t>
  </si>
  <si>
    <t xml:space="preserve">Sort, filter, total Net value, export Excel</t>
  </si>
  <si>
    <t xml:space="preserve">Error</t>
  </si>
  <si>
    <t xml:space="preserve">Data kosong → pesan "Data tidak ditemukan"</t>
  </si>
  <si>
    <t xml:space="preserve">Flow yang Dibuat</t>
  </si>
  <si>
    <t xml:space="preserve">Flow</t>
  </si>
  <si>
    <t xml:space="preserve">Isi minimal</t>
  </si>
  <si>
    <t xml:space="preserve">A — Bisnis</t>
  </si>
  <si>
    <t xml:space="preserve">PR → PO → Release → GR → Invoice, dengan TCODE dan tabel di tiap langkah. Tandai bagian yang dibaca report ini.</t>
  </si>
  <si>
    <t xml:space="preserve">B — Program</t>
  </si>
  <si>
    <t xml:space="preserve">Input → validasi → SELECT JOIN → cek data kosong → ALV</t>
  </si>
  <si>
    <t xml:space="preserve">Langkah dengan AI</t>
  </si>
  <si>
    <t xml:space="preserve">Langkah 1 — pahami data (read-only)</t>
  </si>
  <si>
    <t xml:space="preserve">Prompt AI:
Pakai skill mm-analisa-production. Server prod (read-only).
Baca 5 PO terbaru dari EKKO (EBELN BSART LIFNR EKORG BEDAT) lalu item-nya dari EKPO.
Jelaskan arti setiap field dalam bahasa awam.</t>
  </si>
  <si>
    <t xml:space="preserve">Langkah 2 — cek struktur di Sandbox</t>
  </si>
  <si>
    <t xml:space="preserve">Prompt AI:
Set sandbox-new. read_table_structure EKKO dan EKPO, tampilkan hanya field di spesifikasi saya.
Cek juga apakah sandbox-new punya data PO (baca 5 baris EKKO).</t>
  </si>
  <si>
    <t xml:space="preserve">Langkah 3 — minta kode</t>
  </si>
  <si>
    <t xml:space="preserve">Prompt AI:
Pakai skill abap-dev-sandbox-new. Buat ZTRN_&lt;INISIAL&gt;_D01 sesuai spesifikasi: &lt;tempel tabel Spesifikasi&gt;.
ABAP 7.31, CL_SALV_TABLE. Jelaskan setiap blok kode untuk pemula.</t>
  </si>
  <si>
    <t xml:space="preserve">Langkah 4 — review</t>
  </si>
  <si>
    <t xml:space="preserve">Prompt AI:
Review kode tadi dengan checklist skill abap-dev-sandbox-new: sintaks 7.31? SELECT * ? sy-subrc dicek? TRY/CATCH ALV?</t>
  </si>
  <si>
    <t xml:space="preserve">Langkah 5 — push &amp; jalankan</t>
  </si>
  <si>
    <t xml:space="preserve">Prompt AI:
Set sandbox-new. Push ZTRN_&lt;INISIAL&gt;_D01 ke package $TMP dengan Z_RFC_PROGRAM_UPDATE.
Tampilkan EV_SUCCESS dan EV_MESSAGE, lalu read_program untuk memastikan jumlah baris sama.</t>
  </si>
  <si>
    <t xml:space="preserve">SAP GUI Sandbox → SE38 → ZTRN_&lt;INISIAL&gt;_D01 → F8. Cocokkan 3 PO dengan ME23N.</t>
  </si>
  <si>
    <t xml:space="preserve">Langkah 6 — flow</t>
  </si>
  <si>
    <t xml:space="preserve">Prompt AI:
Buatkan Flow A (Procure to Pay) dan Flow B (dari kode ZTRN_&lt;INISIAL&gt;_D01) dalam Mermaid.
Ikuti 03_TEMPLATE/Template_Flow_Mermaid.md.</t>
  </si>
  <si>
    <t xml:space="preserve">Tugas</t>
  </si>
  <si>
    <t xml:space="preserve">Program berjalan; lampirkan ringkasan output (jumlah PO, total nilai).</t>
  </si>
  <si>
    <t xml:space="preserve">Cocokkan 3 PO dengan ME23N: nilai sama? Jika tidak, mengapa?</t>
  </si>
  <si>
    <t xml:space="preserve">Tambahkan sendiri (dengan AI) kolom nama vendor (LFA1-NAME1). Push ulang.</t>
  </si>
  <si>
    <t xml:space="preserve">Flow A &amp; B selesai.</t>
  </si>
  <si>
    <t xml:space="preserve">Checklist Selesai</t>
  </si>
  <si>
    <t xml:space="preserve">☐</t>
  </si>
  <si>
    <t xml:space="preserve">Push sukses (EV_SUCCESS = 'X'), program berjalan.</t>
  </si>
  <si>
    <t xml:space="preserve">Bisa menjelaskan beda EKKO dan EKPO.</t>
  </si>
  <si>
    <t xml:space="preserve">Bisa menjelaskan setiap blok kode ke orang lain.</t>
  </si>
  <si>
    <t xml:space="preserve">Flow A &amp; B selesai dan cocok dengan kode.</t>
  </si>
  <si>
    <t xml:space="preserve">Kunci jawaban &amp; contoh kode lengkap:</t>
  </si>
  <si>
    <t xml:space="preserve">lihat sheet "Kuis &amp; Kunci" dan file 02_STUDY_CASE/Day01_Report_PO_Sederhana.md</t>
  </si>
  <si>
    <t xml:space="preserve">Day 02 — Report PO Monitoring (Join + Agregasi)</t>
  </si>
  <si>
    <t xml:space="preserve">MM  •  SBX + PRD-RO  •  Level ★★★  •  3–4 jam</t>
  </si>
  <si>
    <t xml:space="preserve">Menggabungkan data dari banyak tabel: header, item, vendor, material, dan histori PO.</t>
  </si>
  <si>
    <t xml:space="preserve">Menghitung qty diterima &amp; sisa dari histori (EKBE) dengan benar, termasuk pembatalan GR.</t>
  </si>
  <si>
    <t xml:space="preserve">Membuat ALV yang lebih kaya: status lampu, hotspot ke ME23N, total.</t>
  </si>
  <si>
    <t xml:space="preserve">Program ZTRN_&lt;INISIAL&gt;_D02 — PO Monitoring: qty PO vs diterima vs sisa, status Open/Partial/Full, status release</t>
  </si>
  <si>
    <t xml:space="preserve">Flow A (status PO dari dibuat sampai diterima penuh) + Flow B (logika program, termasuk penentuan status)</t>
  </si>
  <si>
    <t xml:space="preserve">Catatan: 1 PO dengan GR yang pernah dibatalkan — bukti bahwa perhitungan benar</t>
  </si>
  <si>
    <t xml:space="preserve">Day 01 hanya menunjukkan PO yang dibuat. Manager Purchasing kini bertanya: *"Dari PO tersebut, mana yang barangnya belum datang, mana yang baru sebagian, dan mana yang belum di-release?"* Jawabannya ada di histori PO (EKBE), yang mencatat setiap GR dan pembatalannya.</t>
  </si>
  <si>
    <t xml:space="preserve">Header PO
EBELN, LIFNR, BEDAT, FRGKE (release indicator), FRGZU (status release)</t>
  </si>
  <si>
    <t xml:space="preserve">Item PO
EBELP, MATNR, MENGE, MEINS, NETWR, ELIKZ (delivery completed), LOEKZ</t>
  </si>
  <si>
    <t xml:space="preserve">LFA1</t>
  </si>
  <si>
    <t xml:space="preserve">Master vendor
LIFNR, NAME1</t>
  </si>
  <si>
    <t xml:space="preserve">MAKT</t>
  </si>
  <si>
    <t xml:space="preserve">Deskripsi material
MATNR, SPRAS, MAKTX</t>
  </si>
  <si>
    <t xml:space="preserve">EKBE</t>
  </si>
  <si>
    <t xml:space="preserve">Histori PO
VGABE (1 = GR, 2 = invoice), SHKZG (S tambah / H kurang), MENGE, BELNR, BUDAT</t>
  </si>
  <si>
    <t xml:space="preserve">Qty diterima (netto) = Σ MENGE GR dengan SHKZG = 'S' − Σ MENGE dengan SHKZG = 'H' (pembatalan GR / retur).</t>
  </si>
  <si>
    <t xml:space="preserve">Sisa = EKPO-MENGE − qty diterima.</t>
  </si>
  <si>
    <t xml:space="preserve">Status: Full (sisa ≤ 0 atau ELIKZ = 'X'), Partial (diterima &gt; 0), Open (belum ada GR).</t>
  </si>
  <si>
    <t xml:space="preserve">JOIN vs FOR ALL ENTRIES: JOIN untuk relasi 1:1 / N:1 yang pasti ada (EKKO–EKPO–LFA1). FOR ALL ENTRIES untuk data pelengkap atau yang perlu diagregasi di ABAP (EKBE, MAKT).</t>
  </si>
  <si>
    <t xml:space="preserve">Di ABAP 7.31, fungsi agregat (SUM) tidak boleh dipakai bersama FOR ALL ENTRIES → ambil baris EKBE, jumlahkan di ABAP (COLLECT).</t>
  </si>
  <si>
    <t xml:space="preserve">ALV: kolom ikon (ICON_GREEN_LIGHT, ICON_YELLOW_LIGHT, ICON_RED_LIGHT), hotspot + event LINK_CLICK → CALL TRANSACTION 'ME23N' AND SKIP FIRST SCREEN dengan SET PARAMETER ID 'BES'.</t>
  </si>
  <si>
    <t xml:space="preserve">S_BEDAT (wajib), S_EBELN, S_LIFNR, S_EKORG, S_WERKS, checkbox P_OPEN (hanya yang belum Full)</t>
  </si>
  <si>
    <t xml:space="preserve">Data 1</t>
  </si>
  <si>
    <t xml:space="preserve">EKKO JOIN EKPO JOIN LFA1 (item terhapus dibuang)</t>
  </si>
  <si>
    <t xml:space="preserve">Data 2</t>
  </si>
  <si>
    <t xml:space="preserve">MAKT (bahasa login) dan EKBE (VGABE = '1') via FOR ALL ENTRIES</t>
  </si>
  <si>
    <t xml:space="preserve">Hitung</t>
  </si>
  <si>
    <t xml:space="preserve">Qty diterima netto, sisa, % diterima, status (Open/Partial/Full), status release (Released / Belum) dari FRGKE</t>
  </si>
  <si>
    <t xml:space="preserve">ALV: Lampu, No PO (hotspot), Item, Vendor, Nama vendor, Material, Deskripsi, Qty PO, Qty diterima, Sisa, %, Status, Release, Net value</t>
  </si>
  <si>
    <t xml:space="preserve">Interaksi</t>
  </si>
  <si>
    <t xml:space="preserve">Klik No PO → buka ME23N</t>
  </si>
  <si>
    <t xml:space="preserve">Data kosong → pesan; ALV dibungkus TRY/CATCH</t>
  </si>
  <si>
    <t xml:space="preserve">PO dibuat → menunggu release → released → GR sebagian → GR penuh / delivery completed; termasuk cabang GR dibatalkan</t>
  </si>
  <si>
    <t xml:space="preserve">Input → JOIN → data kosong? → FAE MAKT &amp; EKBE → COLLECT per item → keputusan status (Open/Partial/Full) → filter P_OPEN → ALV → event klik</t>
  </si>
  <si>
    <t xml:space="preserve">Langkah 1 — pahami EKBE (read-only)</t>
  </si>
  <si>
    <t xml:space="preserve">Prompt AI:
Pakai skill mm-analisa-production, server prod. Cari 1 PO yang punya GR dan pembatalan GR
(EKBE VGABE = '1' dengan SHKZG 'S' dan 'H'). Tampilkan baris EKBE-nya dan hitung qty diterima netto.</t>
  </si>
  <si>
    <t xml:space="preserve">Langkah 2 — desain dulu, baru kode</t>
  </si>
  <si>
    <t xml:space="preserve">Prompt AI:
Saya akan membuat ZTRN_&lt;INISIAL&gt;_D02 dengan spesifikasi: &lt;tempel&gt;.
Sebelum menulis kode, jelaskan: tabel mana pakai JOIN, mana pakai FOR ALL ENTRIES, dan alasannya.
Jelaskan juga mengapa SUM tidak dipakai bersama FOR ALL ENTRIES di ABAP 7.31.</t>
  </si>
  <si>
    <t xml:space="preserve">Langkah 3 — kode, review, push</t>
  </si>
  <si>
    <t xml:space="preserve">(pola Day 01). Minta AI menulis event handler LINK_CLICK sebagai local class.</t>
  </si>
  <si>
    <t xml:space="preserve">PO tanpa GR → lampu merah, status Open.</t>
  </si>
  <si>
    <t xml:space="preserve">PO dengan GR sebagian → kuning, Partial.</t>
  </si>
  <si>
    <t xml:space="preserve">PO dengan GR lalu dibatalkan → qty diterima kembali berkurang.</t>
  </si>
  <si>
    <t xml:space="preserve">Klik No PO → ME23N terbuka di PO yang benar.</t>
  </si>
  <si>
    <t xml:space="preserve">Langkah 5 — flow</t>
  </si>
  <si>
    <t xml:space="preserve">(Flow A &amp; B, ikuti template).</t>
  </si>
  <si>
    <t xml:space="preserve">Program berjalan; 4 skenario uji di atas terdokumentasi.</t>
  </si>
  <si>
    <t xml:space="preserve">Bandingkan qty diterima program dengan tab *Purchase Order History* di ME23N untuk 2 PO.</t>
  </si>
  <si>
    <t xml:space="preserve">Bisa menjelaskan kapan JOIN, kapan FOR ALL ENTRIES.</t>
  </si>
  <si>
    <t xml:space="preserve">Pembatalan GR (SHKZG = 'H') dihitung benar.</t>
  </si>
  <si>
    <t xml:space="preserve">Hotspot ke ME23N berfungsi.</t>
  </si>
  <si>
    <t xml:space="preserve">lihat sheet "Kuis &amp; Kunci" dan file 02_STUDY_CASE/Day02_Report_PO_Monitoring_Join.md</t>
  </si>
  <si>
    <t xml:space="preserve">Day 03 — Program Transaksi: Transfer Posting</t>
  </si>
  <si>
    <t xml:space="preserve">MM  •  SBX  •  Level ★★★  •  3–4 jam</t>
  </si>
  <si>
    <t xml:space="preserve">Memahami transfer posting antar storage location (movement type 311) dan dampaknya ke stok.</t>
  </si>
  <si>
    <t xml:space="preserve">Membuat program yang mengubah data dengan cara yang benar: BAPI, test run, commit/rollback, pesan hasil.</t>
  </si>
  <si>
    <t xml:space="preserve">Memahami kenapa tidak boleh INSERT/UPDATE langsung ke tabel stok (MSEG, MARD, MCHB).</t>
  </si>
  <si>
    <t xml:space="preserve">Peringatan: program ini memposting dokumen material. Hanya dijalankan di sandbox-new. Jangan pernah dijalankan di Production.</t>
  </si>
  <si>
    <t xml:space="preserve">Program ZTRN_&lt;INISIAL&gt;_D03 — transfer posting 311 satu material/batch dari SLoc asal ke SLoc tujuan, dengan Test Run</t>
  </si>
  <si>
    <t xml:space="preserve">Flow A (proses transfer stok di gudang) + Flow B (logika program: validasi → BAPI → commit/rollback)</t>
  </si>
  <si>
    <t xml:space="preserve">Bukti: 1 dokumen material hasil posting, dicek di MB03 dan stok sebelum/sesudah di MMBE</t>
  </si>
  <si>
    <t xml:space="preserve">Gudang memindahkan roll dari lokasi produksi ke lokasi gudang jadi (contoh SLoc 2322 → SLoc lain) dengan MIGO (transfer posting 311). Karena volumenya tinggi, user meminta program sederhana: isi material, batch, qty, lokasi asal &amp; tujuan — sekali klik, dengan pengecekan stok dulu.</t>
  </si>
  <si>
    <t xml:space="preserve">Istilah</t>
  </si>
  <si>
    <t xml:space="preserve">Arti</t>
  </si>
  <si>
    <t xml:space="preserve">Movement type 311</t>
  </si>
  <si>
    <t xml:space="preserve">Transfer posting antar storage location dalam 1 plant. Pembatal: 312</t>
  </si>
  <si>
    <t xml:space="preserve">GM code 04</t>
  </si>
  <si>
    <t xml:space="preserve">Kode transaksi BAPI untuk transfer posting</t>
  </si>
  <si>
    <t xml:space="preserve">MARD-LABST</t>
  </si>
  <si>
    <t xml:space="preserve">Stok unrestricted per material + plant + SLoc</t>
  </si>
  <si>
    <t xml:space="preserve">MCHB-CLABS</t>
  </si>
  <si>
    <t xml:space="preserve">Stok unrestricted per batch</t>
  </si>
  <si>
    <t xml:space="preserve">BAPI_GOODSMVT_CREATE</t>
  </si>
  <si>
    <t xml:space="preserve">BAPI standar membuat dokumen material (seperti MIGO)</t>
  </si>
  <si>
    <t xml:space="preserve">TESTRUN = 'X'</t>
  </si>
  <si>
    <t xml:space="preserve">Simulasi: BAPI cek semua validasi tanpa posting</t>
  </si>
  <si>
    <t xml:space="preserve">Pola wajib BAPI yang mengubah data:</t>
  </si>
  <si>
    <t xml:space="preserve">Tanggal posting di Sandbox tidak sama dengan kalender nyata — cek dengan FM GET_SYSTEM_TIME_REMOTE (L_DATE) bila posting ditolak karena periode.</t>
  </si>
  <si>
    <t xml:space="preserve">AUTHORITY-CHECK OBJECT 'M_MSEG_BWA' (movement type) sebelum posting.</t>
  </si>
  <si>
    <t xml:space="preserve">P_MATNR, P_WERKS, P_LGORT (asal), P_UMLGO (tujuan), P_CHARG (opsional), P_MENGE, P_BUDAT (default hari ini), P_BKTXT (header text), checkbox P_TEST (default X)</t>
  </si>
  <si>
    <t xml:space="preserve">Validasi</t>
  </si>
  <si>
    <t xml:space="preserve">Semua field wajib terisi; asal ≠ tujuan; qty &gt; 0; stok cukup (MCHB-CLABS jika batch, MARD-LABST jika tidak); authority check</t>
  </si>
  <si>
    <t xml:space="preserve">BAPI_GOODSMVT_CREATE GM code 04, movement 311, TESTRUN = P_TEST</t>
  </si>
  <si>
    <t xml:space="preserve">Hasil</t>
  </si>
  <si>
    <t xml:space="preserve">Test run sukses → "Simulasi OK, siap posting". Posting sukses → commit, tampilkan no dokumen + tahun. Error → rollback, tampilkan semua pesan RETURN</t>
  </si>
  <si>
    <t xml:space="preserve">List/pesan: stok sebelum, hasil BAPI, no dokumen, stok sesudah</t>
  </si>
  <si>
    <t xml:space="preserve">Operator gudang → transfer 311 → stok SLoc asal berkurang, SLoc tujuan bertambah → dokumen material (MKPF/MSEG); cabang koreksi dengan 312</t>
  </si>
  <si>
    <t xml:space="preserve">Input → validasi (tiap cek = 1 keputusan) → BAPI → test run? → error? → rollback/commit → output</t>
  </si>
  <si>
    <t xml:space="preserve">Langkah 1 — siapkan data uji di Sandbox</t>
  </si>
  <si>
    <t xml:space="preserve">Prompt AI:
Set sandbox-new. Cari 3 material di plant 2000 yang punya stok unrestricted &gt; 0 di MCHB (atau MARD).
Tampilkan MATNR, WERKS, LGORT, CHARG, CLABS. Cari juga 1 SLoc lain di plant yang sama (T001L) sebagai tujuan.
Cek tanggal sistem dengan GET_SYSTEM_TIME_REMOTE.</t>
  </si>
  <si>
    <t xml:space="preserve">Langkah 2 — pahami BAPI</t>
  </si>
  <si>
    <t xml:space="preserve">Prompt AI:
read_function_module BAPI_GOODSMVT_CREATE di sandbox-new. Jelaskan parameter wajib untuk transfer posting 311
(GOODSMVT_HEADER, GOODSMVT_CODE, GOODSMVT_ITEM: MATERIAL, PLANT, STGE_LOC, BATCH, MOVE_TYPE, ENTRY_QNT,
MOVE_PLANT, MOVE_STLOC, MOVE_BATCH) dan arti TESTRUN.</t>
  </si>
  <si>
    <t xml:space="preserve">Langkah 3 — kode</t>
  </si>
  <si>
    <t xml:space="preserve">Prompt AI:
Pakai skill abap-dev-sandbox-new. Buat ZTRN_&lt;INISIAL&gt;_D03 sesuai spesifikasi: &lt;tempel&gt;. ABAP 7.31.
Wajib: validasi sebelum BAPI, TESTRUN, ROLLBACK jika RETURN berisi E/A, COMMIT WAIT jika sukses.
Beri komentar setiap langkah.</t>
  </si>
  <si>
    <t xml:space="preserve">Langkah 4 — review keamanan</t>
  </si>
  <si>
    <t xml:space="preserve">Prompt AI:
Review kode saya: apakah ada jalur yang memanggil COMMIT walau RETURN berisi error?
Apakah validasi stok dilakukan sebelum BAPI? Apakah ada UPDATE/INSERT langsung ke tabel standar?</t>
  </si>
  <si>
    <t xml:space="preserve">Skenario  |  Hasil diharapkan</t>
  </si>
  <si>
    <t xml:space="preserve">T1</t>
  </si>
  <si>
    <t xml:space="preserve">P_TEST = X, data benar  |  "Simulasi OK", tidak ada dokumen</t>
  </si>
  <si>
    <t xml:space="preserve">T2</t>
  </si>
  <si>
    <t xml:space="preserve">Qty &gt; stok  |  Ditolak oleh validasi program</t>
  </si>
  <si>
    <t xml:space="preserve">T3</t>
  </si>
  <si>
    <t xml:space="preserve">SLoc tujuan tidak ada  |  Error dari BAPI, rollback</t>
  </si>
  <si>
    <t xml:space="preserve">T4</t>
  </si>
  <si>
    <t xml:space="preserve">P_TEST kosong, data benar  |  Dokumen terbentuk, stok pindah (cek MMBE, MB03)</t>
  </si>
  <si>
    <t xml:space="preserve">(Flow A &amp; B).</t>
  </si>
  <si>
    <t xml:space="preserve">Empat skenario uji terdokumentasi (input, hasil, no dokumen bila ada).</t>
  </si>
  <si>
    <t xml:space="preserve">Bandingkan stok sebelum/sesudah T4 di MMBE.</t>
  </si>
  <si>
    <t xml:space="preserve">Jelaskan dengan kata sendiri: apa yang terjadi jika program memanggil COMMIT walau BAPI error?</t>
  </si>
  <si>
    <t xml:space="preserve">Program hanya dijalankan di sandbox-new.</t>
  </si>
  <si>
    <t xml:space="preserve">Test run berfungsi (tidak membuat dokumen).</t>
  </si>
  <si>
    <t xml:space="preserve">Error → rollback, sukses → commit + no dokumen.</t>
  </si>
  <si>
    <t xml:space="preserve">lihat sheet "Kuis &amp; Kunci" dan file 02_STUDY_CASE/Day03_Program_Transfer_Posting.md</t>
  </si>
  <si>
    <t xml:space="preserve">Day 04 — Report + Posting dalam 1 Program</t>
  </si>
  <si>
    <t xml:space="preserve">Memodifikasi program yang sudah ada (Day 03) dengan minimal diff — keterampilan yang paling sering dipakai developer.</t>
  </si>
  <si>
    <t xml:space="preserve">Membuat selection screen dinamis: radio button yang menampilkan/menyembunyikan field (MODIF ID, AT SELECTION-SCREEN OUTPUT).</t>
  </si>
  <si>
    <t xml:space="preserve">Menggabungkan report (stok &amp; histori transfer) dan transaksi (posting) dalam 1 program yang rapi.</t>
  </si>
  <si>
    <t xml:space="preserve">Program ZTRN_&lt;INISIAL&gt;_D04 (salinan Day 03 yang dimodifikasi): Radio Report &amp; Radio Posting</t>
  </si>
  <si>
    <t xml:space="preserve">Flow A (siklus cek stok → transfer → cek histori) + Flow B (percabangan radio, validasi, BAPI, ALV)</t>
  </si>
  <si>
    <t xml:space="preserve">Diff Day 03 → Day 04 (apa saja yang berubah) + bukti 1 posting muncul di report histori</t>
  </si>
  <si>
    <t xml:space="preserve">User gudang memakai program Day 03, tetapi sebelum transfer selalu membuka MMBE untuk cek stok, dan setelahnya MB51 untuk melihat histori. Mereka meminta satu program: pilih *Report* untuk melihat stok &amp; histori transfer, atau pilih *Posting* untuk memindahkan stok.</t>
  </si>
  <si>
    <t xml:space="preserve">USER-COMMAND pada radio membuat layar langsung berubah saat radio diklik.</t>
  </si>
  <si>
    <t xml:space="preserve">Field OBLIGATORY yang disembunyikan tetap divalidasi SAP → jangan pakai OBLIGATORY; validasi manual di AT SELECTION-SCREEN hanya saat sy-ucomm = 'ONLI' (tombol Execute) sesuai radio yang aktif.</t>
  </si>
  <si>
    <t xml:space="preserve">Report histori: MKPF + MSEG movement 311/312, tandai baris yang sudah dibatalkan (ada 312 dengan SMBLN menunjuk dokumen tsb).</t>
  </si>
  <si>
    <t xml:space="preserve">Minimal diff: salin Day 03, ubah hanya yang perlu. Gunakan FORM agar logika Report dan Posting terpisah rapi.</t>
  </si>
  <si>
    <t xml:space="preserve">Mode Report (R_RPT)  |  Mode Posting (R_POST)</t>
  </si>
  <si>
    <t xml:space="preserve">S_MATNR, S_WERKS, S_LGORT, S_CHARG, S_BUDAT (histori)
Semua input Day 03 (P_MATNR … P_TEST)</t>
  </si>
  <si>
    <t xml:space="preserve">1) Stok per SLoc/batch (MCHB, fallback MARD). 2) Histori transfer MSEG 311/312 + MKPF
Logika Day 03 dipindah ke FORM posting</t>
  </si>
  <si>
    <t xml:space="preserve">ALV stok, lalu tombol/radio untuk ALV histori — atau 2 ALV berurutan (stok dulu, F3 → histori). Kolom histori: Dokumen, Tgl, Material, Batch, Dari SLoc, Ke SLoc, Qty, User, Status (Aktif/Dibatalkan)
Hasil posting; jika sukses otomatis tampilkan Report untuk material tsb</t>
  </si>
  <si>
    <t xml:space="preserve">Minimal 1 filter material/SLoc
Sama seperti Day 03</t>
  </si>
  <si>
    <t xml:space="preserve">Struktur kode yang disarankan:</t>
  </si>
  <si>
    <t xml:space="preserve">Cek stok → putuskan transfer → posting 311 → cek histori → (bila salah) batal 312</t>
  </si>
  <si>
    <t xml:space="preserve">Radio Report/Posting → cabang masing-masing → validasi → (Posting) BAPI → commit/rollback → tampilkan report</t>
  </si>
  <si>
    <t xml:space="preserve">Langkah 1 — rencana perubahan</t>
  </si>
  <si>
    <t xml:space="preserve">Prompt AI:
Ini source ZTRN_&lt;INISIAL&gt;_D03 saya: &lt;read_program dari sandbox-new&gt;.
Saya ingin menambahkan mode Report sesuai spesifikasi: &lt;tempel&gt;.
Buat RENCANA perubahan dulu (bagian mana yang tetap, mana yang dipindah ke FORM, mana yang baru). Jangan tulis kode dulu.</t>
  </si>
  <si>
    <t xml:space="preserve">Langkah 2 — kode dengan minimal diff</t>
  </si>
  <si>
    <t xml:space="preserve">Prompt AI:
Pakai skill abap-dev-sandbox-new. Tulis ZTRN_&lt;INISIAL&gt;_D04 berdasarkan rencana tadi.
Pertahankan logika posting Day 03 apa adanya, hanya dipindah ke FORM. Selection screen dinamis dengan MODIF ID.</t>
  </si>
  <si>
    <t xml:space="preserve">Langkah 3 — tampilkan diff</t>
  </si>
  <si>
    <t xml:space="preserve">Prompt AI:
Tampilkan perbandingan Day 03 vs Day 04: baris yang ditambah, diubah, dipindah. Pastikan tidak ada logika posting yang berubah.</t>
  </si>
  <si>
    <t xml:space="preserve">Klik radio Posting  |  Field report hilang, field posting muncul</t>
  </si>
  <si>
    <t xml:space="preserve">Report untuk material dari Day 03  |  Stok &amp; dokumen 311 Day 03 tampil, status Aktif</t>
  </si>
  <si>
    <t xml:space="preserve">Posting test run  |  Simulasi OK</t>
  </si>
  <si>
    <t xml:space="preserve">Posting nyata  |  Dokumen baru + report otomatis menampilkan dokumen tsb</t>
  </si>
  <si>
    <t xml:space="preserve">Empat skenario uji terdokumentasi.</t>
  </si>
  <si>
    <t xml:space="preserve">Diff Day 03 → Day 04 (ringkas, poin per poin).</t>
  </si>
  <si>
    <t xml:space="preserve">Radio mengubah layar tanpa error OBLIGATORY.</t>
  </si>
  <si>
    <t xml:space="preserve">Logika posting sama dengan Day 03 (dibuktikan dengan diff).</t>
  </si>
  <si>
    <t xml:space="preserve">Histori menandai dokumen yang dibatalkan.</t>
  </si>
  <si>
    <t xml:space="preserve">lihat sheet "Kuis &amp; Kunci" dan file 02_STUDY_CASE/Day04_Report_dan_Posting_Satu_Program.md</t>
  </si>
  <si>
    <t xml:space="preserve">Day 05 — PO Exception Email</t>
  </si>
  <si>
    <t xml:space="preserve">MM  •  SBX + PRD-RO  •  Level ★★★  •  4 jam</t>
  </si>
  <si>
    <t xml:space="preserve">Memahami pola rule bisnis di tabel konfigurasi (ZMAP_TYPE), bukan hardcode.</t>
  </si>
  <si>
    <t xml:space="preserve">Membandingkan harga PO dengan harga terakhir (last price) material + vendor.</t>
  </si>
  <si>
    <t xml:space="preserve">Mengirim hasil sebagai email HTML + lampiran Excel dengan CL_BCS, dan memantau di SOST.</t>
  </si>
  <si>
    <t xml:space="preserve">Program ZTRN_&lt;INISIAL&gt;_D05 — cek exception PO (vendor baru, material baru, harga naik &gt; X%), tampil ALV, opsional kirim email</t>
  </si>
  <si>
    <t xml:space="preserve">Flow A (PO dibuat → dicek exception → approver menerima email) + Flow B (loader rule → hitung → keputusan exception → email)</t>
  </si>
  <si>
    <t xml:space="preserve">Bukti: 1 email di SOST Sandbox + daftar rule ZMAP_TYPE yang dipakai</t>
  </si>
  <si>
    <t xml:space="preserve">Tabel konfigurasi ZMAP_TYPE: field utama TCODE, PROG, TYPE, OPT, VALUE (+ DELETION). Struktur pasti wajib dicek di SE11.</t>
  </si>
  <si>
    <t xml:space="preserve">Loader sekali jalan: baca semua rule di awal program, simpan di internal table, lalu dipakai berulang.</t>
  </si>
  <si>
    <t xml:space="preserve">Last price: harga PO terakhir untuk material + vendor sebelum PO ini (EKPO lebih lama, item tidak terhapus).</t>
  </si>
  <si>
    <t xml:space="preserve">Faktor toleransi: harga_baru &gt; harga_lama * ( 1 + persen / 100 ).</t>
  </si>
  <si>
    <t xml:space="preserve">Email CL_BCS: CL_BCS=&gt;CREATE_PERSISTENT → CL_DOCUMENT_BCS=&gt;CREATE_DOCUMENT( I_TYPE = 'HTM' ) → ADD_ATTACHMENT (XLS) → CL_CAM_ADDRESS_BCS=&gt;CREATE_INTERNET_ADDRESS → SEND → COMMIT WORK. Status kirim dilihat di SOST.</t>
  </si>
  <si>
    <t xml:space="preserve">Di training, program hanya membaca ZMAP_TYPE (tidak menulis konfigurasi).</t>
  </si>
  <si>
    <t xml:space="preserve">S_BEDAT (wajib), S_EBELN, S_EKORG; checkbox P_SEND; P_EMAIL (penerima, muncul jika P_SEND)</t>
  </si>
  <si>
    <t xml:space="preserve">Loader rule</t>
  </si>
  <si>
    <t xml:space="preserve">Baca ZMAP_TYPE PROG = 'ZMMI_PO_EMAIL', TYPE = 'EXC_RULE', DELETION kosong. Rule tidak ada → exception tsb nonaktif (tampilkan peringatan)</t>
  </si>
  <si>
    <t xml:space="preserve">Data</t>
  </si>
  <si>
    <t xml:space="preserve">PO dari EKKO/EKPO (pakai logika Day 01/02). Histori: PO sebelumnya untuk vendor (EKKO-LIFNR) dan material (EKPO-MATNR)</t>
  </si>
  <si>
    <t xml:space="preserve">Flag VENDOR_NEW, MATERIAL_NEW, PRICE_INCREASE + harga terakhir, % kenaikan</t>
  </si>
  <si>
    <t xml:space="preserve">ALV hanya PO dengan minimal 1 exception; kolom alasan exception</t>
  </si>
  <si>
    <t xml:space="preserve">Email</t>
  </si>
  <si>
    <t xml:space="preserve">Jika P_SEND: email HTML (ringkasan + tabel) + lampiran Excel (tab-delimited .XLS) ke P_EMAIL</t>
  </si>
  <si>
    <t xml:space="preserve">Buyer membuat PO → program cek exception → ada exception? → email ke approver → approver review/release</t>
  </si>
  <si>
    <t xml:space="preserve">Load rule → rule kosong? → ambil PO → ambil histori → per item: 3 keputusan exception → ALV → kirim email? → SOST</t>
  </si>
  <si>
    <t xml:space="preserve">Langkah 1 — baca rule nyata (read-only)</t>
  </si>
  <si>
    <t xml:space="preserve">Prompt AI:
Server prod (read-only), lalu sandbox-new. read_table_structure ZMAP_TYPE, lalu baca baris
PROG = 'ZMMI_PO_EMAIL' AND TYPE = 'EXC_RULE'. Jelaskan arti setiap baris (OPT/VALUE) dalam bahasa awam.
Bandingkan isi Production vs Sandbox.</t>
  </si>
  <si>
    <t xml:space="preserve">Langkah 2 — pahami project</t>
  </si>
  <si>
    <t xml:space="preserve">Prompt AI:
Baca 05_REFERENSI/PO_EMAIL/2026-07-30-zmmi-po-email-dynamic-exception-rules.md
dan 05_REFERENSI/PO_EMAIL/2026-07-29-po-email-excel-attachment.md. Ringkas aturan rule &amp; cara lampiran Excel dibuat.</t>
  </si>
  <si>
    <t xml:space="preserve">Langkah 3 — desain query histori</t>
  </si>
  <si>
    <t xml:space="preserve">Prompt AI:
Bagaimana cara efisien mencari harga PO terakhir per material+vendor untuk banyak PO sekaligus di ABAP 7.31,
tanpa SELECT di dalam LOOP? Jelaskan pilihan dan risikonya, lalu pilih satu.</t>
  </si>
  <si>
    <t xml:space="preserve">Langkah 4 — kode, review, push</t>
  </si>
  <si>
    <t xml:space="preserve">Mulai tanpa email (ALV dulu). Setelah benar, tambahkan email.</t>
  </si>
  <si>
    <t xml:space="preserve">PO vendor yang belum pernah ada histori  |  Flag Vendor baru</t>
  </si>
  <si>
    <t xml:space="preserve">PO dengan harga naik di atas persen rule  |  Flag Harga naik + % kenaikan</t>
  </si>
  <si>
    <t xml:space="preserve">PO normal  |  Tidak tampil</t>
  </si>
  <si>
    <t xml:space="preserve">P_SEND = X ke email Anda  |  Email tercatat di SOST (status kirim tergantung konfigurasi SMTP Sandbox)</t>
  </si>
  <si>
    <t xml:space="preserve">Tabel rule ZMAP_TYPE beserta artinya.</t>
  </si>
  <si>
    <t xml:space="preserve">Jawab: jika Purchasing ingin batas kenaikan harga dari 10% menjadi 15%, apa yang harus dilakukan? Perlu ubah program?</t>
  </si>
  <si>
    <t xml:space="preserve">Rule dibaca dari ZMAP_TYPE, tidak ada angka rule hardcode.</t>
  </si>
  <si>
    <t xml:space="preserve">Tidak ada SELECT di dalam LOOP.</t>
  </si>
  <si>
    <t xml:space="preserve">Email muncul di SOST.</t>
  </si>
  <si>
    <t xml:space="preserve">lihat sheet "Kuis &amp; Kunci" dan file 02_STUDY_CASE/Day05_PO_Exception_Email.md</t>
  </si>
  <si>
    <t xml:space="preserve">Day 06 — Status Production Order &amp; Auto TECO</t>
  </si>
  <si>
    <t xml:space="preserve">PP  •  PRD-RO + SBX  •  Level ★★★  •  3–4 jam</t>
  </si>
  <si>
    <t xml:space="preserve">Memahami status objek SAP (JEST, TJ02T) dan arti REL, PCNF, CNF, DLV, TECO, CLSD.</t>
  </si>
  <si>
    <t xml:space="preserve">Melakukan analisa "mengapa order ini belum TECO?" dari data Production.</t>
  </si>
  <si>
    <t xml:space="preserve">Menghubungkan aturan bisnis dengan logic Z program (ZPPI_COHVPI).</t>
  </si>
  <si>
    <t xml:space="preserve">Program ZTRN_&lt;INISIAL&gt;_D06 — TECO Readiness Checker: status aktif, qty target vs GR, confirmation terakhir, dan rekomendasi per order</t>
  </si>
  <si>
    <t xml:space="preserve">Flow A (siklus status order CRTD → CLSD) + Flow B (aturan keputusan "siap TECO" di program)</t>
  </si>
  <si>
    <t xml:space="preserve">Laporan analisa 1 order nyata di Production yang belum TECO</t>
  </si>
  <si>
    <t xml:space="preserve">Setiap akhir bulan PPIC menjalankan Auto TECO (ZPPI_COHVPI) untuk menutup order yang sudah selesai. Ternyata beberapa order tetap berstatus REL dan tidak ter-TECO. Controller bertanya: *"Kenapa order ini tidak ikut di-TECO? Apakah programnya salah atau datanya yang belum lengkap?"*</t>
  </si>
  <si>
    <t xml:space="preserve">Siklus status order (sederhana):</t>
  </si>
  <si>
    <t xml:space="preserve">Kode internal</t>
  </si>
  <si>
    <t xml:space="preserve">Singkatan  |  Arti</t>
  </si>
  <si>
    <t xml:space="preserve">I0001</t>
  </si>
  <si>
    <t xml:space="preserve">CRTD
Created</t>
  </si>
  <si>
    <t xml:space="preserve">I0002</t>
  </si>
  <si>
    <t xml:space="preserve">REL
Released</t>
  </si>
  <si>
    <t xml:space="preserve">I0010</t>
  </si>
  <si>
    <t xml:space="preserve">PCNF
Partially confirmed</t>
  </si>
  <si>
    <t xml:space="preserve">I0009</t>
  </si>
  <si>
    <t xml:space="preserve">CNF
Confirmed</t>
  </si>
  <si>
    <t xml:space="preserve">I0012</t>
  </si>
  <si>
    <t xml:space="preserve">DLV
Delivered</t>
  </si>
  <si>
    <t xml:space="preserve">I0045</t>
  </si>
  <si>
    <t xml:space="preserve">TECO
Technically completed</t>
  </si>
  <si>
    <t xml:space="preserve">I0046</t>
  </si>
  <si>
    <t xml:space="preserve">CLSD
Closed</t>
  </si>
  <si>
    <t xml:space="preserve">Verifikasi kode di TJ02T (jangan menghafal; minta AI membacanya).</t>
  </si>
  <si>
    <t xml:space="preserve">AUFK-OBJNR (contoh OR000100007232823) adalah kunci ke JEST.</t>
  </si>
  <si>
    <t xml:space="preserve">JEST-INACT = 'X' berarti status tidak aktif lagi. Hanya baca yang INACT = ' '.</t>
  </si>
  <si>
    <t xml:space="preserve">FM standar membaca status: STATUS_READ (hanya baca).</t>
  </si>
  <si>
    <t xml:space="preserve">S_AUFNR, S_ERDAT, S_AUART (default: order type dari ZMAP_TYPE PROG = 'ZPPI_COHVPI'), P_DAYS (hari tanpa movement, default 7)</t>
  </si>
  <si>
    <t xml:space="preserve">AUFK (OBJNR) → JEST (status aktif, INACT = ' ') + TJ02T (teks) → AFPO (PSMNG, WEMNG) → AFRU (confirmation terakhir, STOKZ kosong) → AUFM (movement terakhir) — semua via FOR ALL ENTRIES</t>
  </si>
  <si>
    <t xml:space="preserve">Aturan</t>
  </si>
  <si>
    <t xml:space="preserve">Sudah TECO/CLSD → "Sudah TECO". DLV atau WEMNG ≥ PSMNG, dan tidak ada movement ≥ P_DAYS hari → "Siap TECO" (hijau). WEMNG &lt; PSMNG → "GR belum penuh" (kuning). Movement &lt; P_DAYS hari → "Masih aktif" (kuning). Tanpa confirmation → "Belum confirm" (merah)</t>
  </si>
  <si>
    <t xml:space="preserve">ALV: lampu, order, order type, material, status aktif (gabung teks), PSMNG, WEMNG, % GR, tgl confirmation terakhir, tgl movement terakhir, rekomendasi</t>
  </si>
  <si>
    <t xml:space="preserve">Batasan</t>
  </si>
  <si>
    <t xml:space="preserve">Hanya report — tidak melakukan TECO</t>
  </si>
  <si>
    <t xml:space="preserve">CRTD → REL → PCNF → CNF → DLV → TECO → CLSD, siapa/TCODE apa yang memicu tiap perubahan</t>
  </si>
  <si>
    <t xml:space="preserve">Input → ambil order → ambil status/qty/confirmation/movement → pohon keputusan rekomendasi → ALV</t>
  </si>
  <si>
    <t xml:space="preserve">Ikuti Template_Flow_Mermaid.md.</t>
  </si>
  <si>
    <t xml:space="preserve">Langkah 1 — pilih sampel</t>
  </si>
  <si>
    <t xml:space="preserve">Prompt AI:
Pakai skill pp-analisa-production, server prod read-only.
Cari 5 order dari AUFK dengan ERDAT bulan lalu dan AUART yang ada di ZMAP_TYPE untuk PROG = 'ZPPI_COHVPI'.
Tampilkan AUFNR, AUART, ERDAT, OBJNR.</t>
  </si>
  <si>
    <t xml:space="preserve">Langkah 2 — status tiap order</t>
  </si>
  <si>
    <t xml:space="preserve">Prompt AI:
Untuk 5 order tadi, baca JEST (OBJNR, INACT = ' ', STAT LIKE 'I%') lalu terjemahkan via TJ02T (SPRAS = 'E').
Tampilkan tabel: order, daftar status aktif.</t>
  </si>
  <si>
    <t xml:space="preserve">Langkah 3 — kelengkapan</t>
  </si>
  <si>
    <t xml:space="preserve">Prompt AI:
Untuk order yang belum TECO: bandingkan AFPO-PSMNG vs WEMNG, cek confirmation terakhir di AFRU (STOKZ kosong),
dan cek movement terakhir di AUFM. Simpulkan alasan paling mungkin belum TECO.</t>
  </si>
  <si>
    <t xml:space="preserve">Langkah 4 — cocokkan dengan program</t>
  </si>
  <si>
    <t xml:space="preserve">Prompt AI:
Baca source ZPPI_COHVPI. Temukan kriteria order yang dipilih untuk TECO (status, movement, tanggal).
Apakah order tadi memenuhi kriteria? Tunjukkan baris kodenya.</t>
  </si>
  <si>
    <t xml:space="preserve">Langkah 5 — program TECO Readiness Checker</t>
  </si>
  <si>
    <t xml:space="preserve">Prompt AI:
Pakai skill abap-dev-sandbox-new. Buat ZTRN_&lt;INISIAL&gt;_D06 sesuai spesifikasi: &lt;tempel&gt;.
Status aktif per order digabung jadi satu teks (contoh "REL PCNF DLV"). Push ke sandbox-new dan jalankan.
Bandingkan rekomendasi program untuk 5 order dengan analisa manual Anda di langkah 1-4.</t>
  </si>
  <si>
    <t xml:space="preserve">Buat laporan analisa (pakai Template_Laporan_Analisa.md) untuk 1 order yang belum TECO:</t>
  </si>
  <si>
    <t xml:space="preserve">Status aktif, qty target vs GR, confirmation terakhir.</t>
  </si>
  <si>
    <t xml:space="preserve">Kriteria program yang tidak terpenuhi.</t>
  </si>
  <si>
    <t xml:space="preserve">Kesimpulan: data belum lengkap atau program perlu disesuaikan.</t>
  </si>
  <si>
    <t xml:space="preserve">Bisa membaca status order dari JEST + TJ02T.</t>
  </si>
  <si>
    <t xml:space="preserve">Bisa membedakan masalah data vs masalah program.</t>
  </si>
  <si>
    <t xml:space="preserve">Laporan selesai dengan bukti data.</t>
  </si>
  <si>
    <t xml:space="preserve">Program ZTRN_&lt;INISIAL&gt;_D06 berjalan di sandbox-new dan bisa dijelaskan baris per baris.</t>
  </si>
  <si>
    <t xml:space="preserve">lihat sheet "Kuis &amp; Kunci" dan file 02_STUDY_CASE/Day06_PP_Status_Order_dan_Auto_TECO.md</t>
  </si>
  <si>
    <t xml:space="preserve">Day 07 — Movement Type, Reversal &amp; GI JR Closing</t>
  </si>
  <si>
    <t xml:space="preserve">MM/PP  •  PRD-RO + SBX  •  Level ★★★  •  3–4 jam</t>
  </si>
  <si>
    <t xml:space="preserve">Memahami movement type 101/102/261/262/531/532 dan cara menghitung netto.</t>
  </si>
  <si>
    <t xml:space="preserve">Menangani dokumen reversal dengan benar (jebakan paling umum di report SAP).</t>
  </si>
  <si>
    <t xml:space="preserve">Membuat report mini "GR vs GI per batch" di Sandbox.</t>
  </si>
  <si>
    <t xml:space="preserve">Program ZTRN_&lt;INISIAL&gt;_D07 — GR vs GI per order JR, 3 mode (Semua / Tanpa GI / GI kurang)</t>
  </si>
  <si>
    <t xml:space="preserve">Flow A (produksi JR: GR 101, GI 261, waste 531, reversal) + Flow B (agregasi netto &amp; keputusan mode)</t>
  </si>
  <si>
    <t xml:space="preserve">Analisa 1 order nyata di Production</t>
  </si>
  <si>
    <t xml:space="preserve">Saat closing bulanan PP, tim cost accounting menemukan Jumbo Roll yang sudah di-GR tetapi bahan bakunya belum di-GI, atau GI-nya lebih kecil dari GR. Ini membuat biaya produksi tidak akurat. Dibuatlah ZPPR_GI_JR_CLOSING dengan 3 mode:</t>
  </si>
  <si>
    <t xml:space="preserve">Mode</t>
  </si>
  <si>
    <t xml:space="preserve">Kriteria</t>
  </si>
  <si>
    <t xml:space="preserve">R_ALL</t>
  </si>
  <si>
    <t xml:space="preserve">Semua anomali</t>
  </si>
  <si>
    <t xml:space="preserve">R_NOGI</t>
  </si>
  <si>
    <t xml:space="preserve">GR efektif &gt; 0 tetapi GI efektif = 0</t>
  </si>
  <si>
    <t xml:space="preserve">R_LESS</t>
  </si>
  <si>
    <t xml:space="preserve">GI efektif &gt; 0 tetapi GI &lt; GR − toleransi</t>
  </si>
  <si>
    <t xml:space="preserve">Selisih wajar ada karena Extra Length (~1%) dari PPIC:</t>
  </si>
  <si>
    <t xml:space="preserve">Netto GR = Σ(101) − Σ(102). Netto GI = Σ(261) − Σ(262).</t>
  </si>
  <si>
    <t xml:space="preserve">Pembatalan via MBST membuat dokumen baru (102/262) dan mengisi MSEG-SMBLN = nomor dokumen asal.</t>
  </si>
  <si>
    <t xml:space="preserve">Jebakan: menjumlahkan hanya 101 dan 261 tanpa 102/262 → angka terlihat dobel setelah ada cancel.</t>
  </si>
  <si>
    <t xml:space="preserve">MKPF-BKTXT (header text) di Trias sering berisi nomor roll atau combine order — berguna untuk penelusuran.</t>
  </si>
  <si>
    <t xml:space="preserve">Mesin film → GR JR (101) + GI bahan (261) + waste (531) → closing; cabang pembatalan 102/262</t>
  </si>
  <si>
    <t xml:space="preserve">Input → ambil movement → hitung netto per order → keputusan mode R_ALL/R_NOGI/R_LESS dengan toleransi → ALV</t>
  </si>
  <si>
    <t xml:space="preserve">Langkah 1 — pahami FS</t>
  </si>
  <si>
    <t xml:space="preserve">Prompt AI:
Baca 05_REFERENSI/GI_JR_CLOSING/FS_ZPPR_GI_JR_CLOSING.md.
Ringkas dalam 5 poin untuk orang awam: masalah bisnis, 3 mode, rumus, dan peran reversal.</t>
  </si>
  <si>
    <t xml:space="preserve">Langkah 2 — analisa 1 batch nyata</t>
  </si>
  <si>
    <t xml:space="preserve">Prompt AI:
Pakai skill mm-analisa-production, server prod read-only.
Ambil 1 order JR bulan lalu dari AUFM (filter AUFNR). Tampilkan semua movement 101/102/261/262/531/532:
MBLNR, BWART, MATNR, CHARG, MENGE, SMBLN, BUDAT. Hitung netto GR dan netto GI.</t>
  </si>
  <si>
    <t xml:space="preserve">Langkah 3 — report mini di Sandbox</t>
  </si>
  <si>
    <t xml:space="preserve">Prompt AI:
Pakai skill abap-dev-sandbox-new. Buat ZTRN_&lt;INISIAL&gt;_D07:
- Input: S_AUFNR, S_BUDAT, P_TOL (toleransi kg, default 0)
- Ambil MSEG (via AUFM atau MSEG WHERE AUFNR) movement 101 102 261 262
- Agregasi per AUFNR: qty_gr_net, qty_gi_net, cnt_261_net
- Radio R_ALL / R_NOGI / R_LESS sesuai FS
- Tampilkan ALV
Jangan SELECT di dalam LOOP. Gunakan COLLECT atau SORTED TABLE untuk agregasi.</t>
  </si>
  <si>
    <t xml:space="preserve">Langkah 4 — uji jebakan reversal</t>
  </si>
  <si>
    <t xml:space="preserve">Cari di Sandbox (atau minta AI mencari) order yang punya 102 atau 262. Pastikan hasil report tidak dobel.</t>
  </si>
  <si>
    <t xml:space="preserve">Langkah tambahan — flow</t>
  </si>
  <si>
    <t xml:space="preserve">Prompt AI:
Buatkan Flow A dan Flow B (Mermaid) sesuai tabel "Flow yang Dibuat", berdasarkan kode program saya. Cek silang: setiap tabel dan keputusan di kode harus muncul di Flow B.</t>
  </si>
  <si>
    <t xml:space="preserve">Laporan 1 order nyata: tabel movement + netto + kesimpulan (normal / NOGI / LESS).</t>
  </si>
  <si>
    <t xml:space="preserve">Program ZTRN_&lt;INISIAL&gt;_D07 berjalan di Sandbox.</t>
  </si>
  <si>
    <t xml:space="preserve">Tulis 3 kalimat: apa yang terjadi bila reversal diabaikan.</t>
  </si>
  <si>
    <t xml:space="preserve">Bisa menghitung netto dengan pasangan reversal.</t>
  </si>
  <si>
    <t xml:space="preserve">Paham alasan bisnis toleransi/extra length.</t>
  </si>
  <si>
    <t xml:space="preserve">Report mini berjalan dengan 3 mode.</t>
  </si>
  <si>
    <t xml:space="preserve">Program ZTRN_&lt;INISIAL&gt;_D07 berjalan di sandbox-new dan bisa dijelaskan baris per baris.</t>
  </si>
  <si>
    <t xml:space="preserve">lihat sheet "Kuis &amp; Kunci" dan file 02_STUDY_CASE/Day07_MM_Movement_Type_dan_Reversal.md</t>
  </si>
  <si>
    <t xml:space="preserve">Day 08 — Batch Characteristic (CABN/AUSP)</t>
  </si>
  <si>
    <t xml:space="preserve">PP/QM  •  PRD-RO + SBX  •  Level ★★★★  •  3–4 jam</t>
  </si>
  <si>
    <t xml:space="preserve">Memahami bagaimana atribut batch (panjang, line produksi, nomor roll) disimpan di SAP Classification.</t>
  </si>
  <si>
    <t xml:space="preserve">Membaca nilai karakteristik dari CABN + AUSP.</t>
  </si>
  <si>
    <t xml:space="preserve">Mengatasi masalah format angka (scientific notation) di ALV.</t>
  </si>
  <si>
    <t xml:space="preserve">Program ZTRN_&lt;INISIAL&gt;_D08 — karakteristik batch dalam bentuk pivot (1 baris per batch)</t>
  </si>
  <si>
    <t xml:space="preserve">Flow A (dari upload Slit Roll ZPP003P sampai karakteristik tersimpan) + Flow B (resolve ATINN → baca AUSP → pivot → format angka)</t>
  </si>
  <si>
    <t xml:space="preserve">Tabel definisi karakteristik dari Production</t>
  </si>
  <si>
    <t xml:space="preserve">Report ZPPR_PLANNING_SLITROLL menampilkan karakteristik batch Slit Roll hasil upload ZPP003P (ZPPC_UPLOAD_SLITROLL). Versi awal menampilkan panjang roll sebagai 1.2000000000000000E+04, bukan 12.000. User bingung. Developer harus memperbaiki format angka sesuai jumlah desimal karakteristik.</t>
  </si>
  <si>
    <t xml:space="preserve">Class type 023 = batch class.</t>
  </si>
  <si>
    <t xml:space="preserve">Karakteristik penting Trias: ZZPRODLINE (line produksi, CHAR 2), ZZNOMORROLL (nomor fisik roll), ZZLENGTH/ZZLENGTHSHT (panjang, numerik), ZZWEIGHTEL.</t>
  </si>
  <si>
    <t xml:space="preserve">ATFLV bertipe FLOAT → jika ditulis langsung ke kolom CHAR menjadi notasi ilmiah. Solusi: pindahkan ke packed decimal (TYPE p DECIMALS n), lalu WRITE ... TO dengan desimal dari CABN-ANZDZ.</t>
  </si>
  <si>
    <t xml:space="preserve">Resolusi ATNAM → ATINN dilakukan sekali di awal (bukan per baris).</t>
  </si>
  <si>
    <t xml:space="preserve">PPIC upload planning SR (ZPP003P) → batch SR dibuat → karakteristik terisi (AUSP) → dipakai report &amp; COA</t>
  </si>
  <si>
    <t xml:space="preserve">Input → resolve ATINN sekali → ambil batch → baca AUSP bulk → pivot → konversi ATFLV → ALV</t>
  </si>
  <si>
    <t xml:space="preserve">Langkah 1 — definisi</t>
  </si>
  <si>
    <t xml:space="preserve">Prompt AI:
Pakai skill pp-analisa-production, server prod read-only.
Baca CABN untuk ATNAM IN ('ZZPRODLINE','ZZNOMORROLL','ZZLENGTH','ZZLENGTHSHT').
Tampilkan ATINN, ATNAM, ATFOR, ANZST, ANZDZ dan jelaskan artinya.</t>
  </si>
  <si>
    <t xml:space="preserve">Langkah 2 — nilai untuk 1 batch</t>
  </si>
  <si>
    <t xml:space="preserve">Prompt AI:
Ambil 1 batch Slit Roll dari MCH1 (filter MATNR + CHARG yang saya berikan).
Jelaskan bagaimana OBJEK di AUSP dibentuk untuk batch (cek dulu di sistem, jangan menebak),
lalu baca AUSP untuk OBJEK tsb dengan KLART = '023'. Tampilkan ATNAM, ATWRT, ATFLV.</t>
  </si>
  <si>
    <t xml:space="preserve">Langkah 3 — report di Sandbox</t>
  </si>
  <si>
    <t xml:space="preserve">Prompt AI:
Pakai skill abap-dev-sandbox-new. Buat ZTRN_&lt;INISIAL&gt;_D08:
- Input: P_MATNR, S_CHARG
- Resolve ATINN dari CABN sekali
- Baca AUSP bulk (FOR ALL ENTRIES) untuk semua batch
- Pivot: 1 baris per batch, kolom = karakteristik
- Angka: ATFLV -&gt; packed decimal -&gt; WRITE dengan DECIMALS dari ANZDZ
- Tampilkan ALV</t>
  </si>
  <si>
    <t xml:space="preserve">Tabel definisi 4 karakteristik di atas (dari Production).</t>
  </si>
  <si>
    <t xml:space="preserve">Program ZTRN_&lt;INISIAL&gt;_D08 tampil tanpa notasi ilmiah.</t>
  </si>
  <si>
    <t xml:space="preserve">Jelaskan dengan kata sendiri: mengapa ATINN di-resolve sekali di awal?</t>
  </si>
  <si>
    <t xml:space="preserve">Paham relasi CABN ↔ AUSP, class type 023.</t>
  </si>
  <si>
    <t xml:space="preserve">Bisa membedakan ATWRT vs ATFLV.</t>
  </si>
  <si>
    <t xml:space="preserve">Format angka benar di ALV.</t>
  </si>
  <si>
    <t xml:space="preserve">Program ZTRN_&lt;INISIAL&gt;_D08 berjalan di sandbox-new dan bisa dijelaskan baris per baris.</t>
  </si>
  <si>
    <t xml:space="preserve">lihat sheet "Kuis &amp; Kunci" dan file 02_STUDY_CASE/Day08_Batch_Characteristic.md</t>
  </si>
  <si>
    <t xml:space="preserve">Day 09 — Develop Aplikasi Z: Tabel, Lock &amp; Log</t>
  </si>
  <si>
    <t xml:space="preserve">PP/ABAP  •  SBX + PRD-RO  •  Level ★★★★  •  4 jam</t>
  </si>
  <si>
    <t xml:space="preserve">Membuat objek Data Dictionary sendiri: tabel Z, lock object, table maintenance (SM30).</t>
  </si>
  <si>
    <t xml:space="preserve">Membuat program yang mengubah tabel Z dengan aman: lock (ENQUEUE/DEQUEUE), validasi, commit, dan log audit.</t>
  </si>
  <si>
    <t xml:space="preserve">Belajar dari kasus nyata ZPP090: parsing nomor roll dengan SPLIT, bukan offset hardcode.</t>
  </si>
  <si>
    <t xml:space="preserve">Tabel ZTRN_&lt;INISIAL&gt;_SEQ (counter), ZTRN_&lt;INISIAL&gt;_LOG (log), lock object EZTRN_&lt;INISIAL&gt;_SEQ, maintenance SM30 untuk tabel counter</t>
  </si>
  <si>
    <t xml:space="preserve">Program ZTRN_&lt;INISIAL&gt;_D09 — tampil counter, ambil nomor berikutnya, mundurkan nomor (dengan alasan), lihat log</t>
  </si>
  <si>
    <t xml:space="preserve">Flow A (koreksi nomor roll oleh operator) + Flow B (lock → validasi → update → log → commit)</t>
  </si>
  <si>
    <t xml:space="preserve">Objek</t>
  </si>
  <si>
    <t xml:space="preserve">TCODE  |  Fungsi</t>
  </si>
  <si>
    <t xml:space="preserve">Tabel transparan Z</t>
  </si>
  <si>
    <t xml:space="preserve">SE11
Menyimpan data custom (boleh di-UPDATE program, berbeda dengan tabel standar SAP)</t>
  </si>
  <si>
    <t xml:space="preserve">Lock object EZ...</t>
  </si>
  <si>
    <t xml:space="preserve">SE11
Menghasilkan FM ENQUEUE_EZ... / DEQUEUE_EZ... agar dua user tidak mengubah baris yang sama bersamaan</t>
  </si>
  <si>
    <t xml:space="preserve">Table Maintenance Generator</t>
  </si>
  <si>
    <t xml:space="preserve">SE11 → Utilities → SE54
Layar SM30 untuk maintain data</t>
  </si>
  <si>
    <t xml:space="preserve">Log tabel</t>
  </si>
  <si>
    <t xml:space="preserve">–
Siapa, kapan, nilai lama → baru, alasan</t>
  </si>
  <si>
    <t xml:space="preserve">Urutan aman: ENQUEUE → SELECT SINGLE ... FOR UPDATE/baca ulang → validasi → UPDATE + INSERT log → COMMIT WORK → DEQUEUE.</t>
  </si>
  <si>
    <t xml:space="preserve">sy-subrc dari ENQUEUE ≠ 0 → baris sedang dipakai user lain (sy-msgv1 = user pemegang lock).</t>
  </si>
  <si>
    <t xml:space="preserve">Semua dibuat di sandbox-new, package $TMP.</t>
  </si>
  <si>
    <t xml:space="preserve">Operator input nomor roll → salah → minta koreksi → ZPP090 → counter mundur → log tercatat → nomor berikutnya benar</t>
  </si>
  <si>
    <t xml:space="preserve">Radio → (Next/Back) ENQUEUE → terkunci? → baca ulang → validasi (bulan, min 1, cocok) → UPDATE + INSERT log → COMMIT → DEQUEUE → output</t>
  </si>
  <si>
    <t xml:space="preserve">Langkah 1 — pelajari aslinya (read-only)</t>
  </si>
  <si>
    <t xml:space="preserve">Prompt AI:
Server prod (read-only). read_table_structure ZSEQNUM dan ZLOG_JRNO. Baca 10 baris terakhir masing-masing.
Jelaskan arti field dan bagaimana nomor roll dibentuk. Baca juga 05_REFERENSI/ZPP090/CHECKPOINT.md bagian root cause.</t>
  </si>
  <si>
    <t xml:space="preserve">Langkah 2 — rancang DDIC</t>
  </si>
  <si>
    <t xml:space="preserve">Prompt AI:
Bantu saya membuat tabel ZTRN_&lt;INISIAL&gt;_SEQ dan ZTRN_&lt;INISIAL&gt;_LOG di SE11 (sandbox-new, $TMP), sesuai spesifikasi:
&lt;tempel&gt;. Beri langkah klik demi klik di SE11: delivery class, data browser, technical settings, activate.
Lalu langkah membuat lock object EZTRN_&lt;INISIAL&gt;_SEQ dan table maintenance generator.</t>
  </si>
  <si>
    <t xml:space="preserve">Kerjakan sendiri di SAP GUI Sandbox. Setelah aktif, minta AI memverifikasi: read_table_structure ZTRN_&lt;INISIAL&gt;_SEQ di sandbox-new.</t>
  </si>
  <si>
    <t xml:space="preserve">Langkah 3 — program</t>
  </si>
  <si>
    <t xml:space="preserve">Prompt AI:
Pakai skill abap-dev-sandbox-new. Buat ZTRN_&lt;INISIAL&gt;_D09 sesuai spesifikasi: &lt;tempel&gt;.
Wajib: ENQUEUE/DEQUEUE, baca ulang setelah lock, SPLIT nomor roll (tidak boleh offset tetap), log setiap perubahan.
Nomor LOGNO ambil dari MAX(LOGNO)+1 di dalam lock (jelaskan kelemahannya dan alternatif number range SNRO).</t>
  </si>
  <si>
    <t xml:space="preserve">R_NEXT line 7  |  SEQ naik 1, log NEXT</t>
  </si>
  <si>
    <t xml:space="preserve">R_BACK nomor P1 VAX 096 005 (line 2 karakter)  |  Diterima bila cocok dengan counter, SEQ turun, log BACK + alasan</t>
  </si>
  <si>
    <t xml:space="preserve">R_BACK ke sequence 000  |  Ditolak</t>
  </si>
  <si>
    <t xml:space="preserve">Dua session: session 1 berhenti di breakpoint setelah lock, session 2 jalankan R_NEXT  |  Session 2 ditolak "sedang dipakai user X"</t>
  </si>
  <si>
    <t xml:space="preserve">T5</t>
  </si>
  <si>
    <t xml:space="preserve">R_BACK tanpa alasan  |  Ditolak</t>
  </si>
  <si>
    <t xml:space="preserve">Objek DDIC aktif (screenshot SE11) dan SM30 bisa dipakai.</t>
  </si>
  <si>
    <t xml:space="preserve">Lima skenario uji terdokumentasi, termasuk T4 (bukti lock bekerja).</t>
  </si>
  <si>
    <t xml:space="preserve">Jelaskan dengan kata sendiri: kenapa tabel Z boleh di-UPDATE program, tetapi tabel standar SAP tidak?</t>
  </si>
  <si>
    <t xml:space="preserve">Tabel, lock object, dan SM30 aktif di sandbox-new ($TMP).</t>
  </si>
  <si>
    <t xml:space="preserve">Program ZTRN_&lt;INISIAL&gt;_D09 berjalan dan bisa dijelaskan baris per baris.</t>
  </si>
  <si>
    <t xml:space="preserve">Lock terbukti mencegah update bersamaan.</t>
  </si>
  <si>
    <t xml:space="preserve">Nomor roll line 1 dan 2 karakter sama-sama benar.</t>
  </si>
  <si>
    <t xml:space="preserve">lihat sheet "Kuis &amp; Kunci" dan file 02_STUDY_CASE/Day09_Aplikasi_Z_Tabel_Lock_Log.md</t>
  </si>
  <si>
    <t xml:space="preserve">Day 10 — FICO: Upload Faktur &amp; Jejak Audit</t>
  </si>
  <si>
    <t xml:space="preserve">FI  •  PRD-RO + SBX  •  Level ★★★★  •  4 jam</t>
  </si>
  <si>
    <t xml:space="preserve">Memahami struktur dokumen FI (BKPF/BSEG) dan jejak audit (CDHDR/CDPOS).</t>
  </si>
  <si>
    <t xml:space="preserve">Menganalisa mengapa Z program yang mengubah dokumen tidak meninggalkan jejak yang sama seperti transaksi standar.</t>
  </si>
  <si>
    <t xml:space="preserve">Menimbang solusi dari sisi audit &amp; compliance, bukan hanya teknis.</t>
  </si>
  <si>
    <t xml:space="preserve">Program ZTRN_&lt;INISIAL&gt;_D10 — Upload &amp; Audit Checker Faktur (simulasi, tanpa update)</t>
  </si>
  <si>
    <t xml:space="preserve">Flow A (upload faktur pajak sampai audit) + Flow B (upload file → validasi → cek jejak audit)</t>
  </si>
  <si>
    <t xml:space="preserve">Laporan analisa untuk auditor</t>
  </si>
  <si>
    <t xml:space="preserve">Tim pajak meng-upload nomor faktur pajak ke dokumen FI melalui ZFI106 (ZFIC_UPLOAD_FAKTUR). Nomor faktur masuk ke BKPF-XBLNR dengan benar. Namun auditor menemukan:</t>
  </si>
  <si>
    <t xml:space="preserve">Field "Changed On" (BKPF-AEDAT) tetap kosong/tanggal lama.</t>
  </si>
  <si>
    <t xml:space="preserve">Di FB03 → *Environment → Document Changes*, perubahan nomor faktur tidak terlihat.</t>
  </si>
  <si>
    <t xml:space="preserve">Auditor bertanya: *"Siapa yang mengubah nomor faktur, kapan? Mengapa tidak tercatat?"*</t>
  </si>
  <si>
    <t xml:space="preserve">Field / Tabel</t>
  </si>
  <si>
    <t xml:space="preserve">BKPF-XBLNR</t>
  </si>
  <si>
    <t xml:space="preserve">Reference / nomor faktur pajak</t>
  </si>
  <si>
    <t xml:space="preserve">BKPF-CPUDT/CPUTM/USNAM</t>
  </si>
  <si>
    <t xml:space="preserve">Kapan &amp; siapa membuat dokumen (tidak boleh diubah)</t>
  </si>
  <si>
    <t xml:space="preserve">BKPF-AEDAT</t>
  </si>
  <si>
    <t xml:space="preserve">Tanggal perubahan terakhir oleh transaksi</t>
  </si>
  <si>
    <t xml:space="preserve">CDHDR/CDPOS</t>
  </si>
  <si>
    <t xml:space="preserve">Change document: siapa, kapan, field apa, nilai lama → baru (object BELEG)</t>
  </si>
  <si>
    <t xml:space="preserve">Transaksi standar FB02 mengisi AEDAT dan membuat change document.</t>
  </si>
  <si>
    <t xml:space="preserve">FM level rendah CHANGE_DOCUMENT (dipakai Z program ini) hanya mengupdate field yang dikirim; tidak otomatis men-stamp AEDAT.</t>
  </si>
  <si>
    <t xml:space="preserve">Audit trail lengkap butuh CHANGEDOCUMENT_OPEN → CHANGEDOCUMENT_SINGLE_CASE → CHANGEDOCUMENT_CLOSE (object BELEG), atau memakai jalur FM standar yang setara FB02.</t>
  </si>
  <si>
    <t xml:space="preserve">P_FILE (file CSV/TXT di PC: BUKRS;BELNR;GJAHR;FAKTUR), F4 untuk pilih file</t>
  </si>
  <si>
    <t xml:space="preserve">1) Upload file (GUI_UPLOAD / CL_GUI_FRONTEND_SERVICES). 2) Validasi format (kolom lengkap, faktur 16+ digit). 3) Cek dokumen di BKPF (FOR ALL ENTRIES). 4) Bandingkan XBLNR sekarang vs faktur di file. 5) Cek CDHDR (OBJECTCLAS = 'BELEG') untuk dokumen tsb</t>
  </si>
  <si>
    <t xml:space="preserve">ALV: dokumen, faktur file, XBLNR sekarang, AEDAT, ada change document?, status (Dokumen tidak ada / Sudah sama / Akan berubah / Format salah), catatan audit</t>
  </si>
  <si>
    <t xml:space="preserve">Tidak mengubah BKPF. Program hanya simulasi + audit check</t>
  </si>
  <si>
    <t xml:space="preserve">Tim pajak terima faktur → upload ZFI106 → BKPF-XBLNR berubah → auditor cek FB03 (Document Changes)</t>
  </si>
  <si>
    <t xml:space="preserve">Pilih file → upload → validasi baris → cek BKPF → bandingkan → cek CDHDR → status → ALV</t>
  </si>
  <si>
    <t xml:space="preserve">Langkah 1 — bukti data</t>
  </si>
  <si>
    <t xml:space="preserve">Prompt AI:
Pakai skill fico-analisa-production, server prod read-only.
Ambil 3 dokumen BKPF yang XBLNR-nya diisi lewat ZFI106 (minta saya memberikan BUKRS/BELNR/GJAHR sampel).
Tampilkan XBLNR, CPUDT, USNAM, TCODE, AEDAT, UPDDT.</t>
  </si>
  <si>
    <t xml:space="preserve">Langkah 2 — jejak audit</t>
  </si>
  <si>
    <t xml:space="preserve">Prompt AI:
Untuk dokumen yang sama, cek CDHDR dengan OBJECTCLAS = 'BELEG' dan OBJECTID = BUKRS+BELNR+GJAHR
(minta AI menjelaskan format OBJECTID dan cek di sistem). Ada entry perubahan XBLNR atau tidak?</t>
  </si>
  <si>
    <t xml:space="preserve">Prompt AI:
Baca source ZFIC_UPLOAD_FAKTUR, FORM EXECUTION. Jelaskan:
(a) field apa yang diubah, (b) FM apa yang dipanggil, (c) mengapa AEDAT tidak berubah,
(d) bandingkan dengan perilaku FB02.</t>
  </si>
  <si>
    <t xml:space="preserve">Langkah 4 — opsi solusi</t>
  </si>
  <si>
    <t xml:space="preserve">Prompt AI:
Beri 2 opsi solusi beserta kelebihan, kekurangan, dan risiko audit masing-masing.
Opsi 1: stamp AEDAT = SY-DATUM saja. Opsi 2: AEDAT + change document object BELEG.</t>
  </si>
  <si>
    <t xml:space="preserve">Langkah 5 — program Upload &amp; Audit Checker (Sandbox)</t>
  </si>
  <si>
    <t xml:space="preserve">Prompt AI:
Pakai skill abap-dev-sandbox-new. Buat ZTRN_&lt;INISIAL&gt;_D10 sesuai spesifikasi: &lt;tempel&gt;.
Cari 3 dokumen BKPF di sandbox-new untuk data uji, buat file CSV contoh (1 baris format salah, 1 dokumen tidak ada).
Format OBJECTID CDHDR untuk BELEG: cek dulu dari contoh nyata di sandbox, jangan menebak.</t>
  </si>
  <si>
    <t xml:space="preserve">Laporan analisa 1 halaman untuk auditor dan tim FI:</t>
  </si>
  <si>
    <t xml:space="preserve">Ringkasan masalah (bahasa awam).</t>
  </si>
  <si>
    <t xml:space="preserve">Bukti data (sebelum/sesudah, ada/tidak CDHDR).</t>
  </si>
  <si>
    <t xml:space="preserve">Root cause (lokasi kode).</t>
  </si>
  <si>
    <t xml:space="preserve">Rekomendasi + alasan audit.</t>
  </si>
  <si>
    <t xml:space="preserve">Field yang tidak boleh disentuh.</t>
  </si>
  <si>
    <t xml:space="preserve">Paham beda field "dibuat" vs "diubah" di BKPF.</t>
  </si>
  <si>
    <t xml:space="preserve">Paham peran CDHDR/CDPOS untuk audit.</t>
  </si>
  <si>
    <t xml:space="preserve">Rekomendasi mempertimbangkan compliance, bukan hanya "angka muncul".</t>
  </si>
  <si>
    <t xml:space="preserve">Program ZTRN_&lt;INISIAL&gt;_D10 berjalan di sandbox-new dan bisa dijelaskan baris per baris.</t>
  </si>
  <si>
    <t xml:space="preserve">lihat sheet "Kuis &amp; Kunci" dan file 02_STUDY_CASE/Day10_FICO_Upload_Faktur.md</t>
  </si>
  <si>
    <t xml:space="preserve">Day 11 — QM: Pending Lot + Mass Usage Decision</t>
  </si>
  <si>
    <t xml:space="preserve">QM  •  SBX + PRD-RO  •  Level ★★★★  •  4 jam</t>
  </si>
  <si>
    <t xml:space="preserve">Memahami alur QM: GR → inspection lot → hasil uji per MIC → Usage Decision (UD) → stok bisa dipakai.</t>
  </si>
  <si>
    <t xml:space="preserve">Membuat program report + transaksi tingkat menengah: pilih banyak baris di ALV, lalu jalankan BAPI per baris dengan hasil per baris.</t>
  </si>
  <si>
    <t xml:space="preserve">Mengenal pola dari project nyata ZQM004 (ZQMI_PENDING_BARRIER), termasuk fitur *Auto UD*.</t>
  </si>
  <si>
    <t xml:space="preserve">Program ZTRN_&lt;INISIAL&gt;_D11 — daftar lot belum UD + ringkasan hasil uji; pilih baris → set UD massal (dengan test run)</t>
  </si>
  <si>
    <t xml:space="preserve">Flow A (GR sampai stok release oleh UD) + Flow B (report → pilih → validasi → BAPI per lot → hasil)</t>
  </si>
  <si>
    <t xml:space="preserve">Bukti: 3 lot di Sandbox berubah status (cek QA03) + 1 lot yang ditolak validasi</t>
  </si>
  <si>
    <t xml:space="preserve">Setiap GR Jumbo/Slit Roll membuat inspection lot. Selama UD belum diberikan, stok tertahan di *Quality Inspection* dan tidak bisa dikirim. QC harus membuka QA32, memilih lot satu per satu, lalu QA11. Untuk barrier, project ZQM004 sudah mengotomasi sebagian (upload hasil + *Auto UD*). QC Supervisor meminta tool umum: lihat semua lot pending + status hasil uji, centang, beri UD sekaligus.</t>
  </si>
  <si>
    <t xml:space="preserve">QALS</t>
  </si>
  <si>
    <t xml:space="preserve">Inspection lot
PRUEFLOS, WERK, ART (lot type), HERKUNFT (origin), MATNR, CHARG, ENSTEHDAT, OBJNR, LOSMENGE</t>
  </si>
  <si>
    <t xml:space="preserve">QAVE</t>
  </si>
  <si>
    <t xml:space="preserve">Usage Decision
PRUEFLOS, VCODE (kode UD), VDATUM</t>
  </si>
  <si>
    <t xml:space="preserve">QAMV / QAMR</t>
  </si>
  <si>
    <t xml:space="preserve">MIC per lot / hasil
PRUEFLOS, VORGLFNR, MERKNR, MBEWERTG (A = accepted, R = rejected)</t>
  </si>
  <si>
    <t xml:space="preserve">QPCD / QPCT</t>
  </si>
  <si>
    <t xml:space="preserve">Katalog kode UD
kode &amp; teks</t>
  </si>
  <si>
    <t xml:space="preserve">Lot "pending" = belum ada baris QAVE (atau status lot belum UD — cek JEST via OBJNR).</t>
  </si>
  <si>
    <t xml:space="preserve">UD lewat BAPI BAPI_INSPLOT_SETUSAGEDECISION (dipakai juga di ZQMI_PENDING_BARRIER). Setelah sukses: BAPI_TRANSACTION_COMMIT.</t>
  </si>
  <si>
    <t xml:space="preserve">Commit per lot: satu lot gagal tidak membatalkan lot lain; hasil tiap lot ditampilkan.</t>
  </si>
  <si>
    <t xml:space="preserve">ALV dengan pilihan baris: REUSE_ALV_GRID_DISPLAY + checkbox, atau CL_SALV_TABLE + mode seleksi; tombol custom butuh GUI status (salin STANDARD dari program SAPLKKBL via SE41).</t>
  </si>
  <si>
    <t xml:space="preserve">S_WERK, S_MATNR, S_ENST (tgl lot), S_ART (lot type, default 04 GR produksi), P_SET / P_GROUP / P_CODE (selected set, code group, kode UD), checkbox P_TEST</t>
  </si>
  <si>
    <t xml:space="preserve">Report</t>
  </si>
  <si>
    <t xml:space="preserve">Lot tanpa UD; per lot: jumlah MIC, MIC sudah ada hasil, MIC rejected; status: Siap UD (semua MIC ada hasil, 0 reject), Ada reject, Hasil belum lengkap</t>
  </si>
  <si>
    <t xml:space="preserve">Aksi</t>
  </si>
  <si>
    <t xml:space="preserve">Tombol "Set UD" untuk baris terpilih</t>
  </si>
  <si>
    <t xml:space="preserve">Hanya lot Siap UD yang boleh diberi kode UD terima; lot "Ada reject" tidak boleh diberi kode terima; P_CODE harus ada di katalog</t>
  </si>
  <si>
    <t xml:space="preserve">Per lot: BAPI_INSPLOT_SETUSAGEDECISION → cek RETURN → commit / rollback per lot</t>
  </si>
  <si>
    <t xml:space="preserve">Kolom hasil per lot (OK / pesan error); refresh ALV</t>
  </si>
  <si>
    <t xml:space="preserve">GR 101 → lot terbentuk → lab input hasil (QE51N / ZQM004) → QC beri UD (QA11) → stok unrestricted / blocked</t>
  </si>
  <si>
    <t xml:space="preserve">Input → ambil lot tanpa UD → ringkas hasil MIC → ALV → user pilih → validasi per lot → BAPI → commit/rollback per lot → tampil hasil</t>
  </si>
  <si>
    <t xml:space="preserve">Prompt AI:
Pakai skill qm-analisa-production, server prod. Ambil 10 lot QALS plant 2000 bulan ini dengan ART = '04'.
Untuk tiap lot cek ada/tidak QAVE dan ringkas QAMR (jumlah MIC, rejected). Jelaskan arti field dalam bahasa awam.</t>
  </si>
  <si>
    <t xml:space="preserve">Langkah 2 — pelajari pola ZQM004</t>
  </si>
  <si>
    <t xml:space="preserve">Prompt AI:
Baca 05_REFERENSI/BARRIER/ZQMI_PENDING_BARRIER.abap: bagian yang memanggil BAPI_INSPLOT_SETUSAGEDECISION (Auto UD P1).
Jelaskan parameter yang diisi dan bagaimana hasil BAPI dicek.
Lalu read_function_module BAPI_INSPLOT_SETUSAGEDECISION di sandbox-new.</t>
  </si>
  <si>
    <t xml:space="preserve">Langkah 3 — kode bertahap</t>
  </si>
  <si>
    <t xml:space="preserve">Report dulu (tanpa aksi) → push &amp; uji → tambah tombol + BAPI dengan P_TEST → push &amp; uji.</t>
  </si>
  <si>
    <t xml:space="preserve">Prompt AI:
Pakai skill abap-dev-sandbox-new. Buat ZTRN_&lt;INISIAL&gt;_D11 tahap 1 (report saja) sesuai spesifikasi: &lt;tempel&gt;.</t>
  </si>
  <si>
    <t xml:space="preserve">Lot Siap UD, P_TEST = X  |  Simulasi OK, status lot tidak berubah</t>
  </si>
  <si>
    <t xml:space="preserve">3 lot Siap UD, eksekusi nyata  |  3 lot mendapat UD (cek QA03)</t>
  </si>
  <si>
    <t xml:space="preserve">Lot Ada reject + kode terima  |  Ditolak validasi program</t>
  </si>
  <si>
    <t xml:space="preserve">Campuran 1 sukses + 1 error BAPI  |  Lot sukses tetap tersimpan, lot error dilaporkan</t>
  </si>
  <si>
    <t xml:space="preserve">Jelaskan: mengapa commit per lot lebih tepat daripada satu commit di akhir untuk kasus ini?</t>
  </si>
  <si>
    <t xml:space="preserve">Report menampilkan status hasil uji per lot dengan benar.</t>
  </si>
  <si>
    <t xml:space="preserve">UD hanya diberikan pada lot yang lolos validasi.</t>
  </si>
  <si>
    <t xml:space="preserve">Program ZTRN_&lt;INISIAL&gt;_D11 berjalan di sandbox-new dan bisa dijelaskan baris per baris.</t>
  </si>
  <si>
    <t xml:space="preserve">lihat sheet "Kuis &amp; Kunci" dan file 02_STUDY_CASE/Day11_QM_Pending_Lot_Mass_UD.md</t>
  </si>
  <si>
    <t xml:space="preserve">Day 12 — Performance: Index &amp; Data Besar</t>
  </si>
  <si>
    <t xml:space="preserve">MM/ABAP  •  SBX + PRD-RO  •  Level ★★★★  •  4 jam</t>
  </si>
  <si>
    <t xml:space="preserve">Membaca index tabel dan menyusun WHERE agar database memakai index (bukan full table scan).</t>
  </si>
  <si>
    <t xml:space="preserve">Mengenali dan memperbaiki SELECT di dalam LOOP pada data besar.</t>
  </si>
  <si>
    <t xml:space="preserve">Mengolah data sangat besar tanpa kehabisan memori: PACKAGE SIZE / OPEN CURSOR ... FETCH, FOR ALL ENTRIES per blok, FREE.</t>
  </si>
  <si>
    <t xml:space="preserve">Mengukur dengan angka: GET RUN TIME, ST05 (SQL trace + explain plan).</t>
  </si>
  <si>
    <t xml:space="preserve">Program ZTRN_&lt;INISIAL&gt;_D12 dengan 3 mode: A lambat (SELECT di LOOP), B cepat (index + JOIN/FAE), C data besar (PACKAGE SIZE + agregasi per paket) — output identik</t>
  </si>
  <si>
    <t xml:space="preserve">Flow B untuk ketiga mode (tandai setiap akses database)</t>
  </si>
  <si>
    <t xml:space="preserve">Tabel perbandingan: waktu, jumlah statement SQL, index yang dipakai (dari explain plan ST05)</t>
  </si>
  <si>
    <t xml:space="preserve">Report rekap pergerakan material bulanan (seperti ZPPR_GI_JR_CLOSING dan rekap slitting) dijalankan untuk 1 bulan plant 2000. MSEG berisi jutaan baris. Versi awal: ambil MKPF per tanggal, lalu untuk setiap dokumen SELECT ke MSEG, lalu untuk setiap item SELECT SINGLE ke MAKT. Hasilnya: 15+ menit, dump TIME_OUT, atau TSV_TNEW_PAGE_ALLOC_FAILED (memori habis).</t>
  </si>
  <si>
    <t xml:space="preserve">1. Index. Cek di SE11 → Indexes, atau tabel DD12L (daftar index) + DD17S (field per index). WHERE memakai index jika field awal index terisi (dengan = atau rentang sempit). Contoh yang sering dipakai:</t>
  </si>
  <si>
    <t xml:space="preserve">Akses yang efisien</t>
  </si>
  <si>
    <t xml:space="preserve">MKPF</t>
  </si>
  <si>
    <t xml:space="preserve">BUDAT (index tanggal posting — cek namanya di sistem)</t>
  </si>
  <si>
    <t xml:space="preserve">MSEG</t>
  </si>
  <si>
    <t xml:space="preserve">Primary key MBLNR, MJAHR, ZEILE (dari hasil MKPF); index material MATNR, WERKS, LGORT, BWART, SOBKZ</t>
  </si>
  <si>
    <t xml:space="preserve">AUFM</t>
  </si>
  <si>
    <t xml:space="preserve">AUFNR (pergerakan per order)</t>
  </si>
  <si>
    <t xml:space="preserve">MCHA/MCH1</t>
  </si>
  <si>
    <t xml:space="preserve">MATNR, CHARG</t>
  </si>
  <si>
    <t xml:space="preserve">2. Lima pola lambat.</t>
  </si>
  <si>
    <t xml:space="preserve">Pola  |  Perbaikan</t>
  </si>
  <si>
    <t xml:space="preserve">SELECT di dalam LOOP (N+1)
Ambil sekali: JOIN atau FOR ALL ENTRIES, lalu READ TABLE ... BINARY SEARCH / HASHED TABLE</t>
  </si>
  <si>
    <t xml:space="preserve">WHERE tidak sesuai index
Isi field awal index; pilih tabel "driver" yang ter-index</t>
  </si>
  <si>
    <t xml:space="preserve">SELECT *
Field seperlunya</t>
  </si>
  <si>
    <t xml:space="preserve">4</t>
  </si>
  <si>
    <t xml:space="preserve">FAE tanpa cek kosong / duplikat
IS NOT INITIAL + SORT + DELETE ADJACENT DUPLICATES</t>
  </si>
  <si>
    <t xml:space="preserve">5</t>
  </si>
  <si>
    <t xml:space="preserve">Ambil semua baris ke memori sekaligus
PACKAGE SIZE / OPEN CURSOR + agregasi per paket + FREE</t>
  </si>
  <si>
    <t xml:space="preserve">3. Data besar.</t>
  </si>
  <si>
    <t xml:space="preserve">Memori hanya menampung 1 paket + hasil ringkasan, bukan jutaan baris.</t>
  </si>
  <si>
    <t xml:space="preserve">Alternatif setara: OPEN CURSOR WITH HOLD → FETCH NEXT CURSOR ... PACKAGE SIZE → CLOSE CURSOR.</t>
  </si>
  <si>
    <t xml:space="preserve">Jangan COMMIT WORK di dalam SELECT ... ENDSELECT / cursor tanpa WITH HOLD (cursor tertutup).</t>
  </si>
  <si>
    <t xml:space="preserve">S_BUDAT (wajib), P_WERKS, S_BWART (default 101 102 261 262 311 312), radio R_A / R_B / R_C, P_PKG (package size, default 10000)</t>
  </si>
  <si>
    <t xml:space="preserve">Rekap per material + movement type: qty netto, jumlah dokumen, deskripsi material. Baris terakhir: waktu eksekusi (mikrodetik)</t>
  </si>
  <si>
    <t xml:space="preserve">Mode A</t>
  </si>
  <si>
    <t xml:space="preserve">Lambat sengaja: LOOP MKPF → SELECT MSEG per dokumen → SELECT SINGLE MAKT per item</t>
  </si>
  <si>
    <t xml:space="preserve">Mode B</t>
  </si>
  <si>
    <t xml:space="preserve">MKPF (index BUDAT) JOIN MSEG (key) sekali; MAKT via FAE + HASHED TABLE</t>
  </si>
  <si>
    <t xml:space="preserve">Mode C</t>
  </si>
  <si>
    <t xml:space="preserve">Seperti B tetapi PACKAGE SIZE P_PKG dengan agregasi per paket; FREE tabel paket</t>
  </si>
  <si>
    <t xml:space="preserve">B-A</t>
  </si>
  <si>
    <t xml:space="preserve">LOOP MKPF → (DB) MSEG per dokumen → (DB) MAKT per item → COLLECT</t>
  </si>
  <si>
    <t xml:space="preserve">B-B</t>
  </si>
  <si>
    <t xml:space="preserve">(DB) MKPF⋈MSEG sekali → (DB) MAKT FAE sekali → LOOP + READ HASHED → COLLECT</t>
  </si>
  <si>
    <t xml:space="preserve">B-C</t>
  </si>
  <si>
    <t xml:space="preserve">LOOP paket: (DB) ambil N baris → COLLECT → buang paket → paket berikutnya → (DB) MAKT sekali</t>
  </si>
  <si>
    <t xml:space="preserve">Langkah 1 — baca index (read-only)</t>
  </si>
  <si>
    <t xml:space="preserve">Prompt AI:
Server prod (read-only): baca DD12L dan DD17S untuk tabel MKPF, MSEG, AUFM (index aktif, field berurutan).
Tampilkan sebagai tabel: index, urutan field. Mana yang cocok untuk filter BUDAT + WERKS + BWART?</t>
  </si>
  <si>
    <t xml:space="preserve">Langkah 2 — kode tiga mode</t>
  </si>
  <si>
    <t xml:space="preserve">Prompt AI:
Pakai skill abap-dev-sandbox-new. Buat ZTRN_&lt;INISIAL&gt;_D12 sesuai spesifikasi: &lt;tempel&gt;. ABAP 7.31.
Ketiga mode harus menghasilkan output identik. Ukur waktu dengan GET RUN TIME FIELD.
Beri komentar *SLOW* pada setiap pola lambat di mode A.</t>
  </si>
  <si>
    <t xml:space="preserve">Langkah 3 — ukur</t>
  </si>
  <si>
    <t xml:space="preserve">Jalankan A, B, C dengan input sama (mulai 1 hari, lalu 1 minggu, lalu 1 bulan). Aktifkan ST05 untuk mode A dan B, bandingkan jumlah statement dan lihat *Explain* untuk memastikan index terpakai.</t>
  </si>
  <si>
    <t xml:space="preserve">Prompt AI:
Review mode B dan C saya: apakah WHERE mengikuti index? Ada risiko memori? Apakah hasil ketiga mode identik?</t>
  </si>
  <si>
    <t xml:space="preserve">(tiga flow B).</t>
  </si>
  <si>
    <t xml:space="preserve">Metrik</t>
  </si>
  <si>
    <t xml:space="preserve">Mode A  |  Mode B  |  Mode C</t>
  </si>
  <si>
    <t xml:space="preserve">Waktu 1 hari (µs)</t>
  </si>
  <si>
    <t xml:space="preserve">
</t>
  </si>
  <si>
    <t xml:space="preserve">Waktu 1 bulan (µs)</t>
  </si>
  <si>
    <t xml:space="preserve">Jumlah statement SQL (ST05)</t>
  </si>
  <si>
    <t xml:space="preserve">Index yang dipakai (Explain)</t>
  </si>
  <si>
    <t xml:space="preserve">Output identik?</t>
  </si>
  <si>
    <t xml:space="preserve">Tulis 3 kalimat kesimpulan: kapan mode B cukup, kapan perlu mode C.</t>
  </si>
  <si>
    <t xml:space="preserve">Index tabel dibaca dari sistem, bukan ditebak.</t>
  </si>
  <si>
    <t xml:space="preserve">Output ketiga mode identik.</t>
  </si>
  <si>
    <t xml:space="preserve">Ada angka perbandingan nyata dan bukti explain plan.</t>
  </si>
  <si>
    <t xml:space="preserve">Program ZTRN_&lt;INISIAL&gt;_D12 berjalan di sandbox-new dan bisa dijelaskan baris per baris.</t>
  </si>
  <si>
    <t xml:space="preserve">Flow selesai.</t>
  </si>
  <si>
    <t xml:space="preserve">lihat sheet "Kuis &amp; Kunci" dan file 02_STUDY_CASE/Day12_Performance_Index_Data_Besar.md</t>
  </si>
  <si>
    <t xml:space="preserve">Day 13 — Transaksi Sulit: Process Order End-to-End</t>
  </si>
  <si>
    <t xml:space="preserve">PP/MM  •  SBX + PRD-RO  •  Level ★★★★★  •  5 jam</t>
  </si>
  <si>
    <t xml:space="preserve">Menjalankan siklus Process Order lengkap dengan BAPI: create → release → GI bahan → GR produk → confirmation → TECO.</t>
  </si>
  <si>
    <t xml:space="preserve">Mengelola transaksi multi-langkah dengan benar: urutan, commit per langkah, cek status sebelum langkah berikutnya.</t>
  </si>
  <si>
    <t xml:space="preserve">Membuat pembatalan (kompensasi) dengan urutan terbalik, dan guard agar proses tidak dijalankan dua kali.</t>
  </si>
  <si>
    <t xml:space="preserve">Belajar dari insiden nyata GR duplikat ZPP001 (2026-10-15).</t>
  </si>
  <si>
    <t xml:space="preserve">Ini persiapan langsung Day 14: BAPI yang dipakai sama dengan ZPP001L (ZPPI_SR_EXEC).</t>
  </si>
  <si>
    <t xml:space="preserve">Program ZTRN_&lt;INISIAL&gt;_D13 — mode Proses (6 langkah) dan mode Cancel (urutan terbalik), log per langkah di ALV</t>
  </si>
  <si>
    <t xml:space="preserve">Flow A (siklus process order &amp; dokumen yang terbentuk) + Flow B (langkah, commit, guard, kompensasi)</t>
  </si>
  <si>
    <t xml:space="preserve">Bukti di Sandbox: 1 order lengkap sampai TECO, 1 order dibatalkan bersih, 1 percobaan proses ganda yang ditolak guard</t>
  </si>
  <si>
    <t xml:space="preserve">Program slitting (ZPP001/ZPP001L) menjalankan banyak BAPI berurutan, masing-masing commit sendiri. Pada 15-10-2026, satu proses yang gagal di langkah confirmation diulang user tiga kali → GR tercatat 3x (target 4 roll, GR 12 roll), interface OLAP error. Akar masalah: (1) langkah yang sudah commit tidak dibatalkan saat langkah berikutnya gagal, (2) tidak ada cek "GR sudah ada?", (3) log tidak tersimpan.</t>
  </si>
  <si>
    <t xml:space="preserve">Hari ini Anda membangun versi kecil siklus tersebut dengan benar.</t>
  </si>
  <si>
    <t xml:space="preserve">Langkah</t>
  </si>
  <si>
    <t xml:space="preserve">BAPI (dipakai juga di ZPPI_SR_EXEC)  |  Dokumen / status</t>
  </si>
  <si>
    <t xml:space="preserve">1 Create</t>
  </si>
  <si>
    <t xml:space="preserve">BAPI_PROCORD_CREATE (ORDERDATA: ORDER_TYPE, MATERIAL, PLANT, QUANTITY, PROD_VERSION, tanggal)
AUFK/AFKO/AFPO, status CRTD</t>
  </si>
  <si>
    <t xml:space="preserve">2 Release</t>
  </si>
  <si>
    <t xml:space="preserve">BAPI_PROCORD_RELEASE (ORDERS)
REL</t>
  </si>
  <si>
    <t xml:space="preserve">3 GI bahan</t>
  </si>
  <si>
    <t xml:space="preserve">BAPI_GOODSMVT_CREATE GM code 03, movement 261 + ORDERID
MSEG/AUFM</t>
  </si>
  <si>
    <t xml:space="preserve">4 GR produk</t>
  </si>
  <si>
    <t xml:space="preserve">BAPI_GOODSMVT_CREATE GM code 02, movement 101 + ORDERID
MSEG/AUFM, AFPO-WEMNG</t>
  </si>
  <si>
    <t xml:space="preserve">5 Confirmation</t>
  </si>
  <si>
    <t xml:space="preserve">BAPI_PROCORDCONF_CREATE_TT (TIMETICKETS: ORDERID, PHASE, FIN_CONF, qty)
AFRU, CNF</t>
  </si>
  <si>
    <t xml:space="preserve">6 TECO</t>
  </si>
  <si>
    <t xml:space="preserve">BAPI_PROCORD_COMPLETE_TECH (ORDERS)
TECO</t>
  </si>
  <si>
    <t xml:space="preserve">Cancel (urutan terbalik): revoke TECO → cancel confirmation (BAPI_PROCORDCONF_CANCEL) → cancel GR &amp; GI (BAPI_GOODSMVT_CANCEL) → tandai order (deletion flag / dibiarkan + log).</t>
  </si>
  <si>
    <t xml:space="preserve">Aturan penting:</t>
  </si>
  <si>
    <t xml:space="preserve">Cek RETURN sebelum commit. Contoh nyata di ZPPI_SR_EXEC FORM RELEASE_ORDERS: PERFORM COMMIT dipanggil walaupun RETURN berisi error — jangan ditiru.</t>
  </si>
  <si>
    <t xml:space="preserve">Guard: sebelum GR, cek GR aktif (101 tanpa 102) untuk order + batch; jika ada → stop.</t>
  </si>
  <si>
    <t xml:space="preserve">Status terbaru: baca status order langsung dari JEST setelah commit; buffer STATUS_READ bisa basi (temuan insiden).</t>
  </si>
  <si>
    <t xml:space="preserve">Lock: order terkunci selama diproses; COMMIT WORK AND WAIT (WAIT = 'X') sebelum langkah berikutnya.</t>
  </si>
  <si>
    <t xml:space="preserve">Log: simpan setiap langkah (sukses/gagal, dokumen, pesan) — minimal di ALV + tabel Z dari Day 09, ideal Application Log (SLG1).</t>
  </si>
  <si>
    <t xml:space="preserve">Radio R_PROC (Proses) / R_CANC (Cancel) / R_STAT (Lihat status &amp; dokumen)</t>
  </si>
  <si>
    <t xml:space="preserve">Input Proses</t>
  </si>
  <si>
    <t xml:space="preserve">P_MATNR, P_WERKS, P_AUART, P_VERID, P_QTY, P_LGORT, P_CHARG (batch produk, opsional), komponen GI: P_COMP, P_CBAT, P_CQTY, P_STOP (berhenti setelah langkah ke-n, untuk uji)</t>
  </si>
  <si>
    <t xml:space="preserve">Input Cancel/Status</t>
  </si>
  <si>
    <t xml:space="preserve">P_AUFNR</t>
  </si>
  <si>
    <t xml:space="preserve">6 langkah berurutan; tiap langkah: cek prasyarat (status/guard) → BAPI → cek RETURN → commit/rollback → log. Langkah gagal → berhenti + tawarkan kompensasi otomatis untuk langkah yang sudah commit</t>
  </si>
  <si>
    <t xml:space="preserve">Cancel</t>
  </si>
  <si>
    <t xml:space="preserve">Baca dokumen dari AUFM/AFRU/status → batalkan urutan terbalik, lewati yang sudah batal</t>
  </si>
  <si>
    <t xml:space="preserve">ALV log: langkah, status, dokumen, pesan, waktu</t>
  </si>
  <si>
    <t xml:space="preserve">Order dibuat → release → bahan diambil (261) → produk masuk (101) → konfirmasi → TECO; dokumen &amp; status di tiap langkah; cabang pembatalan</t>
  </si>
  <si>
    <t xml:space="preserve">Untuk tiap langkah: prasyarat? → BAPI → error? → (ya) rollback + kompensasi langkah sebelumnya (terbalik) → (tidak) commit + log → langkah berikutnya; plus guard "GR sudah ada?"</t>
  </si>
  <si>
    <t xml:space="preserve">Langkah 1 — pelajari pola nyata (read-only)</t>
  </si>
  <si>
    <t xml:space="preserve">Prompt AI:
Baca 05_REFERENSI/ZPP001L_PACKING/ANALISA_ZPP001L_DAN_ZHU5SO_FS.md dan
05_REFERENSI/AUTO_TECO_ZPP001/2026-10-16_ANALISA_ZPP001_GR_DUPLIKAT_SRAAOI.md (bagian Root Cause).
Ringkas: urutan langkah, letak commit, dan 3 pelajaran dari insiden.</t>
  </si>
  <si>
    <t xml:space="preserve">Langkah 2 — siapkan data Sandbox</t>
  </si>
  <si>
    <t xml:space="preserve">Prompt AI:
Set sandbox-new. Cari 1 material di plant 2000 yang punya production version aktif (MKAL) dan master recipe,
order type process order yang valid (T003O / dari ZMAP_TYPE PROG ZPPI_COHVPI), serta komponen BOM yang punya stok (MCHB).
Cek tanggal sistem dengan GET_SYSTEM_TIME_REMOTE.</t>
  </si>
  <si>
    <t xml:space="preserve">Langkah 3 — pelajari BAPI</t>
  </si>
  <si>
    <t xml:space="preserve">Prompt AI:
read_function_module BAPI_PROCORD_CREATE, BAPI_PROCORD_RELEASE, BAPI_PROCORDCONF_CREATE_TT, BAPI_PROCORDCONF_CANCEL,
BAPI_PROCORD_COMPLETE_TECH di sandbox-new. Buat tabel parameter wajib masing-masing.</t>
  </si>
  <si>
    <t xml:space="preserve">Langkah 4 — kode bertahap</t>
  </si>
  <si>
    <t xml:space="preserve">Langkah 1–2 dulu (create + release) → uji → tambah 3–4 (GI/GR, pakai pola Day 03) → uji → tambah 5–6 → uji → tambah Cancel.</t>
  </si>
  <si>
    <t xml:space="preserve">Prompt AI:
Pakai skill abap-dev-sandbox-new. Buat ZTRN_&lt;INISIAL&gt;_D13 tahap &lt;n&gt; sesuai spesifikasi: &lt;tempel&gt;.
Setiap langkah dalam FORM sendiri, mengembalikan flag sukses + nomor dokumen. COMMIT hanya jika RETURN tanpa E/A.</t>
  </si>
  <si>
    <t xml:space="preserve">Proses lengkap  |  Order TECO; log 6 langkah sukses; dokumen cocok di COR3, MB51</t>
  </si>
  <si>
    <t xml:space="preserve">P_STOP = 4 lalu Proses lagi untuk order yang sama  |  Guard menolak GR kedua</t>
  </si>
  <si>
    <t xml:space="preserve">Paksa error di confirmation (mis. phase salah)  |  Langkah 5 gagal, kompensasi membatalkan GR &amp; GI; stok kembali</t>
  </si>
  <si>
    <t xml:space="preserve">Cancel order dari T1  |  Semua dokumen batal berurutan, status order kembali</t>
  </si>
  <si>
    <t xml:space="preserve">Cancel dua kali  |  Langkah yang sudah batal dilewati, tidak error</t>
  </si>
  <si>
    <t xml:space="preserve">Lima skenario uji terdokumentasi (dokumen &amp; status sebelum/sesudah).</t>
  </si>
  <si>
    <t xml:space="preserve">Tabel: langkah → BAPI → dokumen → cara membatalkan.</t>
  </si>
  <si>
    <t xml:space="preserve">Tulis 3 aturan yang Anda terapkan agar kasus GR duplikat tidak terjadi di program Anda.</t>
  </si>
  <si>
    <t xml:space="preserve">Order lengkap sampai TECO di Sandbox.</t>
  </si>
  <si>
    <t xml:space="preserve">Guard GR ganda terbukti bekerja.</t>
  </si>
  <si>
    <t xml:space="preserve">Kompensasi urutan terbalik terbukti bekerja.</t>
  </si>
  <si>
    <t xml:space="preserve">Program ZTRN_&lt;INISIAL&gt;_D13 berjalan di sandbox-new dan bisa dijelaskan baris per baris.</t>
  </si>
  <si>
    <t xml:space="preserve">lihat sheet "Kuis &amp; Kunci" dan file 02_STUDY_CASE/Day13_Transaksi_Process_Order_End_to_End.md</t>
  </si>
  <si>
    <t xml:space="preserve">Day 14 — Capstone: ZPP001L Slitting + Packing</t>
  </si>
  <si>
    <t xml:space="preserve">PP/MM/SD  •  SBX + PRD-RO  •  Level ★★★★★  •  5–6 jam</t>
  </si>
  <si>
    <t xml:space="preserve">Menggabungkan seluruh materi Day 1–13 dalam satu enhancement nyata:</t>
  </si>
  <si>
    <t xml:space="preserve">Program ZTRN_&lt;INISIAL&gt;_D14 (salinan ZPPI_SR_EXEC di Sandbox) dengan step baru PACKING setelah slitting, plus pembongkaran packing saat Cancel</t>
  </si>
  <si>
    <t xml:space="preserve">Flow A (slitting → alokasi SO/free stock → packing → TECO) + Flow B (step 1–15 + step packing, guard, kompensasi)</t>
  </si>
  <si>
    <t xml:space="preserve">FS singkat, hasil test T1–T8, presentasi 10 menit</t>
  </si>
  <si>
    <t xml:space="preserve">Saat ini operator Laminator menjalankan dua transaksi terpisah:</t>
  </si>
  <si>
    <t xml:space="preserve">ZPP001L (ZPPI_SR_EXEC) — *Slitting One Button*: satu klik membuat order SR, release, batch, GI JR, GR SR, confirmation, sales order/alokasi, dan TECO.</t>
  </si>
  <si>
    <t xml:space="preserve">ZHU5SO / ZHU5FS (ZHUI_PACK_PC) — *Packing*: memasukkan roll SR ke pallet (Handling Unit) sesuai packing instruction (ZHU4SO/ZHU4FS), untuk stok Sales Order atau Free Stock.</t>
  </si>
  <si>
    <t xml:space="preserve">Akibatnya: double input, roll lupa di-packing, dan ketika slitting dibatalkan, roll yang sudah di-pallet membuat pembatalan GR gagal. Manager Produksi meminta: setelah slitting sukses, packing otomatis dalam tombol yang sama, dan Cancel ikut membongkar packing.</t>
  </si>
  <si>
    <t xml:space="preserve">Anda membangun prototipe di Sandbox — program asli tidak diubah.</t>
  </si>
  <si>
    <t xml:space="preserve">Alur ZPP001L sekarang (dari analisa source, lihat referensi):</t>
  </si>
  <si>
    <t xml:space="preserve">FORM  |  Inti</t>
  </si>
  <si>
    <t xml:space="preserve">1–2</t>
  </si>
  <si>
    <t xml:space="preserve">VALIDATE_POPUP, SET_NUMBERING
Validasi input, penomoran batch SR</t>
  </si>
  <si>
    <t xml:space="preserve">3–5</t>
  </si>
  <si>
    <t xml:space="preserve">CREATE_PRO_ORIGINAL, CREATE_PRO_COMBINE, RELEASE_ORDERS
Order SR + release</t>
  </si>
  <si>
    <t xml:space="preserve">6–7</t>
  </si>
  <si>
    <t xml:space="preserve">CREATE_BATCH, CHANGE_BATCH
Batch SR + karakteristik</t>
  </si>
  <si>
    <t xml:space="preserve">8–10</t>
  </si>
  <si>
    <t xml:space="preserve">GOODS_ISSUE, GOODS_RECEIPT, CHANGE_BATCH_INPUTAN
GI JR, GR SR, update JR</t>
  </si>
  <si>
    <t xml:space="preserve">11</t>
  </si>
  <si>
    <t xml:space="preserve">CREATE_CONFIRMATION
Confirmation</t>
  </si>
  <si>
    <t xml:space="preserve">12–14</t>
  </si>
  <si>
    <t xml:space="preserve">CREATE_SO, CHANGE_SO, FREE_TO_SO
Sales order &amp; alokasi stok</t>
  </si>
  <si>
    <t xml:space="preserve">15 baru</t>
  </si>
  <si>
    <t xml:space="preserve">PACKING
Pack batch SR ke HU sesuai packing instruction</t>
  </si>
  <si>
    <t xml:space="preserve">16</t>
  </si>
  <si>
    <t xml:space="preserve">TECO
TECO order</t>
  </si>
  <si>
    <t xml:space="preserve">Logika packing (ZHU5SO/ZHU5FS):</t>
  </si>
  <si>
    <t xml:space="preserve">Hal</t>
  </si>
  <si>
    <t xml:space="preserve">SO (ZHU5SO)  |  Free Stock (ZHU5FS)</t>
  </si>
  <si>
    <t xml:space="preserve">Kapan</t>
  </si>
  <si>
    <t xml:space="preserve">Batch SR dialokasikan ke sales order (stok khusus E)
Batch tetap free stock</t>
  </si>
  <si>
    <t xml:space="preserve">Packing instruction</t>
  </si>
  <si>
    <t xml:space="preserve">ZPACK_PCH by VBELN + POSNR
Instruction free stock (pelajari F_PROCESS_FREESTOCK)</t>
  </si>
  <si>
    <t xml:space="preserve">Isi HU</t>
  </si>
  <si>
    <t xml:space="preserve">BAPI_HU_PACK dengan SPEC_STOCK = 'E', SP_STCK_NO
BAPI_HU_PACK tanpa stok SO</t>
  </si>
  <si>
    <t xml:space="preserve">Catatan packing</t>
  </si>
  <si>
    <t xml:space="preserve">ZPACK_PCL (PINNR, HUSEQ, VENUM, HUSTAT, PACKED)
sama</t>
  </si>
  <si>
    <t xml:space="preserve">Lock</t>
  </si>
  <si>
    <t xml:space="preserve">ENQUEUE_EZPACK / ENQUEUE_EZPACK_PCL
sama</t>
  </si>
  <si>
    <t xml:space="preserve">Temuan teknis yang harus diperbaiki di desain baru:</t>
  </si>
  <si>
    <t xml:space="preserve">HU saat ini dibuat lewat BDC HU02, nomor HU ditebak dari number range, lalu menunggu dengan loop WHILE ... SELECT VEKP ... ENDWHILE tanpa batas waktu. Desain baru: BAPI_HU_CREATE (nomor HU pasti) atau loop dengan batas percobaan + timeout.</t>
  </si>
  <si>
    <t xml:space="preserve">Setiap step slitting commit sendiri (multi-LUW). Packing adalah step ke-15: jika gagal, slitting tidak dibatalkan — tandai status "Slitting OK, Packing gagal" agar bisa diulang via ZHU5SO/FS (keputusan desain yang harus dibahas dengan bisnis).</t>
  </si>
  <si>
    <t xml:space="preserve">Cancel: sebelum BAPI_GOODSMVT_CANCEL GR SR, unpack (BAPI_HU_UNPACK) dan hapus HU kosong (BAPI_HU_DELETE), update ZPACK_PCL.</t>
  </si>
  <si>
    <t xml:space="preserve">Basis</t>
  </si>
  <si>
    <t xml:space="preserve">Copy ZPPI_SR_EXEC → ZTRN_&lt;INISIAL&gt;_D14 di SE38 Sandbox (sertakan screen 100/2000, GUI status, text elements), package $TMP</t>
  </si>
  <si>
    <t xml:space="preserve">Step baru</t>
  </si>
  <si>
    <t xml:space="preserve">FORM PACKING dipanggil setelah FREE_TO_SO, sebelum TECO (hanya untuk baris tanpa error)</t>
  </si>
  <si>
    <t xml:space="preserve">Penentuan mode</t>
  </si>
  <si>
    <t xml:space="preserve">Batch SR berstok SO (MSKA / hasil FREE_TO_SO) → mode SO; selain itu → mode FS</t>
  </si>
  <si>
    <t xml:space="preserve">Guard</t>
  </si>
  <si>
    <t xml:space="preserve">Batch sudah ada di HU (VEPO / ZPACK_PCL) → lewati; packing instruction tidak ada → lewati + peringatan (slitting tetap sukses)</t>
  </si>
  <si>
    <t xml:space="preserve">Lock packing instruction → buat HU (BAPI_HU_CREATE) → BAPI_HU_PACK per batch → commit → update ZPACK_PCL (tabel Z) → unlock</t>
  </si>
  <si>
    <t xml:space="preserve">Kompensasi</t>
  </si>
  <si>
    <t xml:space="preserve">Pack gagal setelah HU dibuat → BAPI_HU_DELETE HU kosong; catat status packing gagal</t>
  </si>
  <si>
    <t xml:space="preserve">Di PROCESS_CANCEL, sebelum cancel GR SR: BAPI_HU_UNPACK + BAPI_HU_DELETE, reset ZPACK_PCL</t>
  </si>
  <si>
    <t xml:space="preserve">Kolom baru di ALV hasil: No HU, Status packing (OK / Dilewati / Gagal + pesan)</t>
  </si>
  <si>
    <t xml:space="preserve">Program asli ZPPI_SR_EXEC dan ZHUI_PACK_PC tidak diubah</t>
  </si>
  <si>
    <t xml:space="preserve">JR → slitting (ZPP001L) → batch SR → alokasi SO / free stock → packing ke pallet sesuai packing instruction → label → TECO; cabang Cancel: unpack → batal slitting</t>
  </si>
  <si>
    <t xml:space="preserve">Step 1–14 (ringkas) → step 15 PACKING: mode SO/FS? → guard (sudah di HU? instruction ada?) → lock → create HU → pack → error? → hapus HU kosong + status gagal / commit + update ZPACK_PCL → TECO; Cancel: unpack → delete HU → cancel GR</t>
  </si>
  <si>
    <t xml:space="preserve">Ikuti Template_Flow_Mermaid.md. Flow dibuat di fase desain, sebelum coding.</t>
  </si>
  <si>
    <t xml:space="preserve">Langkah Kerja</t>
  </si>
  <si>
    <t xml:space="preserve">Fase 1 — Analisa (60 menit)</t>
  </si>
  <si>
    <t xml:space="preserve">Prompt AI:
Baca 05_REFERENSI/ZPP001L_PACKING/ANALISA_ZPP001L_DAN_ZHU5SO_FS.md.
Server sandbox-new (read-only dulu): read_program ZPPI_SR_EXEC, fokus FORM FREE_TO_SO, TECO, PROCESS_CANCEL, CHECK_ERROR.
Lalu read_program ZHUI_PACK_OL_F01 (FORM HU_PACKING, HU_UNPACKING) dan ZHUI_PACK_NB_F01 (F_PROCESS_FREESTOCK, F_READ_SONUM).
Jelaskan: data apa yang dibutuhkan packing, dari mana didapat di ZPPI_SR_EXEC (ITAB), dan tabel Z apa yang diupdate.</t>
  </si>
  <si>
    <t xml:space="preserve">Bandingkan juga dengan data nyata (read-only) di Production: 1 batch SR hasil ZPP001L → apakah sudah di HU (VEPO) dan baris ZPACK_PCL-nya.</t>
  </si>
  <si>
    <t xml:space="preserve">Fase 2 — FS &amp; desain (60 menit)</t>
  </si>
  <si>
    <t xml:space="preserve">Prompt AI:
Buat Functional Spec singkat (03_TEMPLATE/Template_FS_Singkat.md) untuk "ZPP001L + Packing".
Sertakan keputusan desain: jika packing gagal, slitting tetap sukses atau dibatalkan? Beri rekomendasi + alasan.
Lalu desain teknis: FORM baru, data dari ITAB, BAPI, urutan commit, lock, kompensasi, perubahan PROCESS_CANCEL.</t>
  </si>
  <si>
    <t xml:space="preserve">Buat Flow A &amp; B di fase ini.</t>
  </si>
  <si>
    <t xml:space="preserve">SAP GUI Sandbox → SE38 → Copy ZPPI_SR_EXEC → ZTRN_&lt;INISIAL&gt;_D14 (centang semua sub-objek), package $TMP.</t>
  </si>
  <si>
    <t xml:space="preserve">Verifikasi salinan berjalan sama seperti ZPP001L sebelum diubah.</t>
  </si>
  <si>
    <t xml:space="preserve">Tambahkan step PACKING secara minimal diff.</t>
  </si>
  <si>
    <t xml:space="preserve">Fase 3 — Copy &amp; coding (120 menit)</t>
  </si>
  <si>
    <t xml:space="preserve">Prompt AI:
Pakai skill abap-dev-sandbox-new. Ini source ZTRN_&lt;INISIAL&gt;_D14 (read_program sandbox-new) dan desain saya: &lt;tempel&gt;.
Tambahkan FORM PACKING + PERFORM-nya setelah FREE_TO_SO, dan unpack di PROCESS_CANCEL. Minimal diff.
Tampilkan diff sebelum push. Jangan menulis ke program asli.</t>
  </si>
  <si>
    <t xml:space="preserve">Slitting batch untuk SO yang punya packing instruction  |  Slitting sukses + HU terbentuk + ZPACK_PCL terisi, status packing OK</t>
  </si>
  <si>
    <t xml:space="preserve">Slitting free stock dengan instruction FS  |  HU terbentuk (mode FS)</t>
  </si>
  <si>
    <t xml:space="preserve">Tidak ada packing instruction  |  Slitting sukses, packing "Dilewati" + peringatan</t>
  </si>
  <si>
    <t xml:space="preserve">Batch sudah ada di HU  |  Guard melewati, tidak ada HU ganda</t>
  </si>
  <si>
    <t xml:space="preserve">Paksa error di BAPI_HU_PACK  |  HU kosong dihapus, status "Gagal", slitting tetap tercatat</t>
  </si>
  <si>
    <t xml:space="preserve">T6</t>
  </si>
  <si>
    <t xml:space="preserve">Cancel slitting hasil T1  |  HU di-unpack &amp; dihapus, lalu GR SR batal sukses</t>
  </si>
  <si>
    <t xml:space="preserve">T7</t>
  </si>
  <si>
    <t xml:space="preserve">Cancel dua kali  |  Langkah yang sudah batal dilewati</t>
  </si>
  <si>
    <t xml:space="preserve">T8</t>
  </si>
  <si>
    <t xml:space="preserve">Dua user packing instruction sama bersamaan  |  Lock menolak user kedua</t>
  </si>
  <si>
    <t xml:space="preserve">Fase 5 — Review &amp; presentasi (30 menit)</t>
  </si>
  <si>
    <t xml:space="preserve">Prompt AI:
Review ZTRN_&lt;INISIAL&gt;_D14: (1) ada jalur yang bisa membuat HU ganda? (2) ada step commit yang tidak dikompensasi?
(3) loop tunggu tanpa batas? (4) sintaks 7.31? (5) diff hanya di area yang diminta?</t>
  </si>
  <si>
    <t xml:space="preserve">FS + desain teknis tertulis, keputusan "packing gagal" dibahas.</t>
  </si>
  <si>
    <t xml:space="preserve">Program asli tidak tersentuh; perubahan hanya di ZTRN_&lt;INISIAL&gt;_D14 di Sandbox.</t>
  </si>
  <si>
    <t xml:space="preserve">8 skenario test terdokumentasi.</t>
  </si>
  <si>
    <t xml:space="preserve">Presentasi siap.</t>
  </si>
  <si>
    <t xml:space="preserve">Rubrik Penilaian Mandiri</t>
  </si>
  <si>
    <t xml:space="preserve">Aspek</t>
  </si>
  <si>
    <t xml:space="preserve">Bobot  |  1 (kurang)  |  3 (cukup)  |  5 (baik)</t>
  </si>
  <si>
    <t xml:space="preserve">Pemahaman proses</t>
  </si>
  <si>
    <t xml:space="preserve">20%
Hanya tahu tombol
Paham alur slitting &amp; packing
Paham data, tabel, dan titik integrasi</t>
  </si>
  <si>
    <t xml:space="preserve">Desain</t>
  </si>
  <si>
    <t xml:space="preserve">20%
Packing ditempel tanpa guard
Guard atau kompensasi
Guard + kompensasi + cancel + lock</t>
  </si>
  <si>
    <t xml:space="preserve">Kode</t>
  </si>
  <si>
    <t xml:space="preserve">25%
Error / sintaks 7.40
Jalan, diff besar
Minimal diff, 7.31, RETURN dicek, tanpa loop tanpa batas</t>
  </si>
  <si>
    <t xml:space="preserve">Testing</t>
  </si>
  <si>
    <t xml:space="preserve">20%
&lt; 4 skenario
5–6 skenario
8 skenario + bukti dokumen</t>
  </si>
  <si>
    <t xml:space="preserve">Komunikasi</t>
  </si>
  <si>
    <t xml:space="preserve">15%
Teknis saja
Jelas
Jelas untuk manajemen &amp; teknis</t>
  </si>
  <si>
    <t xml:space="preserve">lihat sheet "Kuis &amp; Kunci" dan file 02_STUDY_CASE/Day14_Capstone_ZPP001L_Slitting_Packing.md</t>
  </si>
  <si>
    <t xml:space="preserve">Kuis &amp; Kunci Jawaban</t>
  </si>
  <si>
    <t xml:space="preserve">Coba jawab dulu sebelum melihat kolom kunci. Jawaban yang menyebut data sistem tetap wajib diverifikasi.</t>
  </si>
  <si>
    <t xml:space="preserve">No</t>
  </si>
  <si>
    <t xml:space="preserve">Pertanyaan</t>
  </si>
  <si>
    <t xml:space="preserve">Kunci jawaban</t>
  </si>
  <si>
    <t xml:space="preserve">Tabel mana yang menyimpan vendor PO? Mana yang menyimpan material?</t>
  </si>
  <si>
    <t xml:space="preserve">Vendor: EKKO-LIFNR (header). Material: EKPO-MATNR (item).</t>
  </si>
  <si>
    <t xml:space="preserve">Apa arti EKPO-LOEKZ = 'L'?</t>
  </si>
  <si>
    <t xml:space="preserve">Item PO sudah ditandai hapus.</t>
  </si>
  <si>
    <t xml:space="preserve">Mengapa field ditulis eksplisit di SELECT, bukan SELECT *?</t>
  </si>
  <si>
    <t xml:space="preserve">Mengurangi data yang ditransfer dari database (lebih cepat) dan membuat kode jelas.</t>
  </si>
  <si>
    <t xml:space="preserve">Mengapa program dibuat di Sandbox, tetapi data dicocokkan ke Production?</t>
  </si>
  <si>
    <t xml:space="preserve">Perubahan program hanya boleh di Sandbox; Production hanya dibaca.</t>
  </si>
  <si>
    <t xml:space="preserve">Text element B01 (judul blok) diisi via SE38 → Goto → Text Elements, contoh "Filter Purchase Order".</t>
  </si>
  <si>
    <t xml:space="preserve">PO item qty 100. EKBE: GR +60 (S), GR +40 (S), batal −40 (H). Berapa sisa dan statusnya?</t>
  </si>
  <si>
    <t xml:space="preserve">Diterima netto 60, sisa 40, status Partial.</t>
  </si>
  <si>
    <t xml:space="preserve">Mengapa MAKT tidak di-JOIN langsung?</t>
  </si>
  <si>
    <t xml:space="preserve">MAKT berbasis bahasa; JOIN dengan filter SPRAS bisa membuang baris PO tanpa material (item jasa/teks). FAE + READ TABLE lebih aman; atau LEFT OUTER JOIN.</t>
  </si>
  <si>
    <t xml:space="preserve">Apa beda ELIKZ dan sisa = 0?</t>
  </si>
  <si>
    <t xml:space="preserve">ELIKZ = user menandai delivery selesai (walau qty kurang); sisa 0 = qty benar-benar diterima penuh. Keduanya dianggap Full.</t>
  </si>
  <si>
    <t xml:space="preserve">Catatan: get_column dapat melempar cx_salv_not_found — tangkap di TRY/CATCH.</t>
  </si>
  <si>
    <t xml:space="preserve">Movement type untuk transfer antar SLoc dan pembatalnya?</t>
  </si>
  <si>
    <t xml:space="preserve">311; pembatal 312.</t>
  </si>
  <si>
    <t xml:space="preserve">Mengapa memakai BAPI, bukan INSERT ke MSEG?</t>
  </si>
  <si>
    <t xml:space="preserve">BAPI menjalankan seluruh validasi dan update standar (stok, nilai, akuntansi, dokumen, lock). INSERT langsung merusak konsistensi data dan audit.</t>
  </si>
  <si>
    <t xml:space="preserve">Apa fungsi WAIT = 'X' pada BAPI_TRANSACTION_COMMIT?</t>
  </si>
  <si>
    <t xml:space="preserve">Menunggu update database selesai sebelum program lanjut, sehingga dokumen langsung bisa dibaca setelahnya.</t>
  </si>
  <si>
    <t xml:space="preserve">Mengapa validasi stok di program tetap berguna padahal BAPI juga memvalidasi?</t>
  </si>
  <si>
    <t xml:space="preserve">Pesan lebih jelas untuk user dan mencegah panggilan BAPI yang pasti gagal.</t>
  </si>
  <si>
    <t xml:space="preserve">Catatan: tipe P_MENGE boleh disesuaikan (BSTMG/MENGE_D); minta AI memeriksa tipe ENTRY_QNT di SE11.</t>
  </si>
  <si>
    <t xml:space="preserve">Event apa yang dipakai untuk menyembunyikan field?</t>
  </si>
  <si>
    <t xml:space="preserve">AT SELECTION-SCREEN OUTPUT dengan LOOP AT SCREEN + MODIFY SCREEN.</t>
  </si>
  <si>
    <t xml:space="preserve">Mengapa field tersembunyi tidak boleh OBLIGATORY?</t>
  </si>
  <si>
    <t xml:space="preserve">SAP tetap memeriksa field wajib walau tidak tampil di mode lain → user tidak bisa eksekusi.</t>
  </si>
  <si>
    <t xml:space="preserve">Apa keuntungan memecah logika ke FORM?</t>
  </si>
  <si>
    <t xml:space="preserve">Kode lebih mudah dibaca, diuji, dan diubah tanpa mengganggu bagian lain (minimal diff).</t>
  </si>
  <si>
    <t xml:space="preserve">Harga terakhir 1.000, rule kenaikan 10%. PO baru 1.090 dan 1.120 — mana yang exception?</t>
  </si>
  <si>
    <t xml:space="preserve">Batas = 1.000 × 1,10 = 1.100. 1.120 exception, 1.090 tidak.</t>
  </si>
  <si>
    <t xml:space="preserve">Apa keuntungan rule di ZMAP_TYPE dibanding konstanta di program?</t>
  </si>
  <si>
    <t xml:space="preserve">Perubahan nilai cukup di konfigurasi (dengan kontrol perubahan), tanpa ubah kode &amp; transport program; rule bisa dinonaktifkan per baris.</t>
  </si>
  <si>
    <t xml:space="preserve">Di TCODE mana memantau email yang dikirim SAP?</t>
  </si>
  <si>
    <t xml:space="preserve">SOST (dan SCOT untuk konfigurasi SMTP).</t>
  </si>
  <si>
    <t xml:space="preserve">Tugas 3: ubah nilai baris rule PRICE_INCREASE/PERCENT di ZMAP_TYPE (di development, lalu transport/sesuai prosedur). Program tidak perlu diubah.
Catatan: tipe P_EMAIL gunakan AD_SMTPADR. Pastikan Sandbox memang boleh mengirim email keluar; jika tidak, cukup bukti di SOST.</t>
  </si>
  <si>
    <t xml:space="preserve">Apa arti JEST-INACT = 'X'?</t>
  </si>
  <si>
    <t xml:space="preserve">Status tersebut pernah aktif tetapi sekarang sudah tidak berlaku.</t>
  </si>
  <si>
    <t xml:space="preserve">Mengapa program interface (contoh ke MES) dilarang memproses order TECO/DLV/CLSD?</t>
  </si>
  <si>
    <t xml:space="preserve">Order sudah selesai/tertutup; memproses ulang bisa membuat posting ganda, biaya salah, atau data tidak konsisten.</t>
  </si>
  <si>
    <t xml:space="preserve">Apa beda TECO dan CLSD?</t>
  </si>
  <si>
    <t xml:space="preserve">TECO = secara teknis selesai (tidak ada aktivitas logistik lagi), masih bisa menerima biaya/settlement; CLSD = ditutup penuh setelah settlement, tidak bisa diposting lagi.</t>
  </si>
  <si>
    <t xml:space="preserve">Batch punya 101 = 1.000 kg, 102 = 1.000 kg, 101 = 980 kg. Berapa netto GR?</t>
  </si>
  <si>
    <t xml:space="preserve">1.000 − 1.000 + 980 = 980 kg.</t>
  </si>
  <si>
    <t xml:space="preserve">Field apa di MSEG yang menunjuk dokumen yang dibatalkan?</t>
  </si>
  <si>
    <t xml:space="preserve">SMBLN (dengan SJAHR, SMBLP).</t>
  </si>
  <si>
    <t xml:space="preserve">Mengapa selisih GI vs GR tidak selalu berarti error?</t>
  </si>
  <si>
    <t xml:space="preserve">Ada extra length dari PPIC dan waste combine yang wajar secara operasional; karena itu dipakai toleransi.</t>
  </si>
  <si>
    <t xml:space="preserve">Class type berapa untuk batch?</t>
  </si>
  <si>
    <t xml:space="preserve">023.</t>
  </si>
  <si>
    <t xml:space="preserve">Field AUSP mana yang menyimpan nilai numerik?</t>
  </si>
  <si>
    <t xml:space="preserve">ATFLV (FLOAT).</t>
  </si>
  <si>
    <t xml:space="preserve">Apa risiko jika program me-SELECT CABN di setiap baris loop?</t>
  </si>
  <si>
    <t xml:space="preserve">Ribuan query kecil ke database (N+1 query) → lambat; padahal definisi karakteristik hanya beberapa baris dan cukup dibaca sekali.</t>
  </si>
  <si>
    <t xml:space="preserve">Apa yang terjadi bila program tidak memakai lock dan dua user menekan "Next" bersamaan?</t>
  </si>
  <si>
    <t xml:space="preserve">Keduanya bisa membaca SEQ yang sama dan menulis nilai sama → nomor roll ganda.</t>
  </si>
  <si>
    <t xml:space="preserve">Mengapa data dibaca ulang setelah ENQUEUE?</t>
  </si>
  <si>
    <t xml:space="preserve">Data yang dibaca sebelum lock bisa sudah diubah user lain; setelah lock, data dijamin terbaru dan tidak berubah sampai unlock.</t>
  </si>
  <si>
    <t xml:space="preserve">Mengapa SPLIT lebih aman daripada P_ROLL+6(2)?</t>
  </si>
  <si>
    <t xml:space="preserve">Panjang segmen line berbeda (1 atau 2 karakter); offset tetap bergeser, SPLIT memisah berdasarkan spasi.</t>
  </si>
  <si>
    <t xml:space="preserve">Apa kelemahan MAX(LOGNO)+1 dibanding number range (SNRO)?</t>
  </si>
  <si>
    <t xml:space="preserve">Butuh lock seluruh tabel agar aman dan lambat pada volume besar; number range dikelola SAP, aman untuk banyak user.</t>
  </si>
  <si>
    <t xml:space="preserve">Nama parameter FM ENQUEUE_... mengikuti lock object yang Anda buat — cek di SE37.</t>
  </si>
  <si>
    <t xml:space="preserve">Mengapa UPDATE BKPF SET ... langsung dari program dilarang?</t>
  </si>
  <si>
    <t xml:space="preserve">Melewati validasi standar, tidak ada change document, merusak audit trail, dan berisiko inkonsistensi data.</t>
  </si>
  <si>
    <t xml:space="preserve">Field mana yang mencatat siapa pembuat dokumen?</t>
  </si>
  <si>
    <t xml:space="preserve">BKPF-USNAM (dengan CPUDT/CPUTM).</t>
  </si>
  <si>
    <t xml:space="preserve">Di mana auditor melihat histori perubahan dokumen FI?</t>
  </si>
  <si>
    <t xml:space="preserve">FB03 → *Environment → Document Changes*, yang membaca CDHDR/CDPOS.</t>
  </si>
  <si>
    <t xml:space="preserve">Tabel apa yang menandakan lot sudah punya UD?</t>
  </si>
  <si>
    <t xml:space="preserve">QAVE (plus status lot di JEST).</t>
  </si>
  <si>
    <t xml:space="preserve">Apa akibat bisnis jika UD terlambat?</t>
  </si>
  <si>
    <t xml:space="preserve">Stok tertahan di quality inspection → tidak bisa dikirim/dipakai → pengiriman terlambat.</t>
  </si>
  <si>
    <t xml:space="preserve">Mengapa lot dengan MIC rejected tidak boleh diberi UD terima secara massal?</t>
  </si>
  <si>
    <t xml:space="preserve">Keputusan pada lot bermasalah perlu review manusia (deviasi, rework, konsesi customer); otomasi massal hanya untuk kasus yang jelas.</t>
  </si>
  <si>
    <t xml:space="preserve">Tambahkan input P_SET dan P_GROUP (selected set &amp; code group) di selection screen; nilai valid dicek di katalog (QPAC/QPCD) di Sandbox.</t>
  </si>
  <si>
    <t xml:space="preserve">Index MSEG dimulai MATNR. Query hanya memfilter BWART. Apakah index dipakai?</t>
  </si>
  <si>
    <t xml:space="preserve">Umumnya tidak efektif — field awal index (MATNR) kosong, database cenderung full scan.</t>
  </si>
  <si>
    <t xml:space="preserve">Mengapa SELECT di dalam LOOP lambat walau tiap query cepat?</t>
  </si>
  <si>
    <t xml:space="preserve">Setiap query punya overhead round-trip; 5.000 dokumen × (1 + item) query = puluhan ribu round-trip.</t>
  </si>
  <si>
    <t xml:space="preserve">Apa beda masalah yang diselesaikan JOIN/FAE vs PACKAGE SIZE?</t>
  </si>
  <si>
    <t xml:space="preserve">JOIN/FAE mengurangi jumlah akses database; PACKAGE SIZE membatasi memori saat hasilnya sangat besar.</t>
  </si>
  <si>
    <t xml:space="preserve">Mengapa tidak boleh COMMIT WORK di dalam SELECT ... PACKAGE SIZE ... ENDSELECT?</t>
  </si>
  <si>
    <t xml:space="preserve">COMMIT WORK menutup cursor database yang sedang dibuka → dump DBIF_RSQL_INVALID_CURSOR. Gunakan OPEN CURSOR WITH HOLD jika memang perlu commit.</t>
  </si>
  <si>
    <t xml:space="preserve">Mengapa kompensasi harus berurutan terbalik?</t>
  </si>
  <si>
    <t xml:space="preserve">Langkah berikutnya bergantung pada langkah sebelumnya (mis. confirmation bergantung GR); membatalkan dari yang terakhir menjaga konsistensi dan menghindari error "dokumen masih dipakai".</t>
  </si>
  <si>
    <t xml:space="preserve">Apa bedanya rollback dan kompensasi?</t>
  </si>
  <si>
    <t xml:space="preserve">Rollback membatalkan perubahan yang belum di-commit; kompensasi membuat transaksi pembalik untuk perubahan yang sudah di-commit.</t>
  </si>
  <si>
    <t xml:space="preserve">Mengapa status order harus dibaca ulang setelah commit, bukan dari buffer?</t>
  </si>
  <si>
    <t xml:space="preserve">Buffer dalam session bisa berisi status lama (contoh insiden: TECO tidak terbaca), sehingga keputusan program salah.</t>
  </si>
  <si>
    <t xml:space="preserve">Apa yang salah dengan pola "panggil BAPI → langsung COMMIT" tanpa cek RETURN?</t>
  </si>
  <si>
    <t xml:space="preserve">Sebagian perubahan yang berhasil sebelum error bisa ikut tersimpan, atau commit dijalankan dalam kondisi error yang tidak terdeteksi → data setengah jadi.</t>
  </si>
  <si>
    <t xml:space="preserve">Tipe yang dipakai di ZPPI_SR_EXEC: BAPI_PI_ORDER_CREATE (create), BAPI_ORDER_KEY (release/TECO), BAPI_PI_TIMETICKET1 (confirmation). Tetap cek di SE37 sebelum coding.</t>
  </si>
  <si>
    <t xml:space="preserve">Mengapa packing ditempatkan setelah FREE_TO_SO dan sebelum TECO?</t>
  </si>
  <si>
    <t xml:space="preserve">Packing butuh batch SR sudah ada (setelah GR) dan sudah dialokasikan (SO atau free stock) untuk menentukan mode &amp; stok khusus; TECO menutup order sehingga sebaiknya terakhir.</t>
  </si>
  <si>
    <t xml:space="preserve">Apa yang terjadi jika slitting dibatalkan tanpa unpack HU lebih dulu?</t>
  </si>
  <si>
    <t xml:space="preserve">Stok batch berada di dalam HU, sehingga BAPI_GOODSMVT_CANCEL GR SR gagal / stok tidak konsisten dengan HU.</t>
  </si>
  <si>
    <t xml:space="preserve">Apa risiko loop WHILE ... SELECT ... ENDWHILE tanpa batas, dan bagaimana memperbaikinya?</t>
  </si>
  <si>
    <t xml:space="preserve">Bila data yang ditunggu tidak pernah muncul, program berjalan terus (work process tertahan, user tidak bisa keluar). Gunakan batas percobaan + WAIT UP TO n SECONDS, atau BAPI yang langsung mengembalikan nomor HU.</t>
  </si>
  <si>
    <t xml:space="preserve">Mengapa prototipe dibuat dengan menyalin program, bukan mengubah ZPPI_SR_EXEC langsung?</t>
  </si>
  <si>
    <t xml:space="preserve">Aturan: perubahan program hanya di Sandbox; salinan menjaga program produksi tetap utuh dan memudahkan perbandingan (diff) sebelum diusulkan resmi.</t>
  </si>
  <si>
    <t xml:space="preserve">Tipe yang dipakai ZHUI_PACK_PC: BAPIHUITMPROPOSAL, BAPIHUITEM, BAPIHUHEADER, nomor HU BAPIHUKEY-HU_EXID; HU_ITEM_TYPE = '1' (material) dan '3' (HU di dalam HU). Format SP_STCK_NO ikuti ZHUI_PACK_PC.</t>
  </si>
  <si>
    <t xml:space="preserve">Skill AI</t>
  </si>
  <si>
    <t xml:space="preserve">Instruksi kerja untuk AI. File lengkap ada di folder 01_SKILLS.</t>
  </si>
  <si>
    <t xml:space="preserve">Skill</t>
  </si>
  <si>
    <t xml:space="preserve">Kapan dipakai</t>
  </si>
  <si>
    <t xml:space="preserve">Server</t>
  </si>
  <si>
    <t xml:space="preserve">File</t>
  </si>
  <si>
    <t xml:space="preserve">abap-dev-sandbox-new</t>
  </si>
  <si>
    <t xml:space="preserve">Gunakan saat membuat, mengubah, push, atau menguji program ABAP (report, ALV, FORM, FM) untuk training atau prototipe. Semua penulisan hanya ke server sandbox-new (Sandbox New Company, TRS client 130) dengan sintaks ABAP 7.31.</t>
  </si>
  <si>
    <t xml:space="preserve">WRITE</t>
  </si>
  <si>
    <t xml:space="preserve">01_SKILLS/abap-dev-sandbox-new/SKILL.md</t>
  </si>
  <si>
    <t xml:space="preserve">pp-analisa-production</t>
  </si>
  <si>
    <t xml:space="preserve">Gunakan saat menganalisa kasus modul PP (Production/Process Order, confirmation, GR/GI order, status TECO, BOM, Jumbo Roll/Slit Roll, combine order) dengan membaca data dan program di Production AIX secara read-only.</t>
  </si>
  <si>
    <t xml:space="preserve">READ-ONLY</t>
  </si>
  <si>
    <t xml:space="preserve">01_SKILLS/pp-analisa-production/SKILL.md</t>
  </si>
  <si>
    <t xml:space="preserve">mm-analisa-production</t>
  </si>
  <si>
    <t xml:space="preserve">Gunakan saat menganalisa kasus modul MM (movement stok, reversal, batch, stok per lokasi, Purchase Order, release strategy, email PO) dengan membaca data dan program di Production AIX secara read-only.</t>
  </si>
  <si>
    <t xml:space="preserve">01_SKILLS/mm-analisa-production/SKILL.md</t>
  </si>
  <si>
    <t xml:space="preserve">qm-analisa-production</t>
  </si>
  <si>
    <t xml:space="preserve">Gunakan saat menganalisa kasus modul QM (inspection lot, MIC, result recording, usage decision, barrier WVTR/OTR, Certificate of Analysis/COA) dengan membaca data dan program di Production AIX secara read-only.</t>
  </si>
  <si>
    <t xml:space="preserve">01_SKILLS/qm-analisa-production/SKILL.md</t>
  </si>
  <si>
    <t xml:space="preserve">sd-analisa-production</t>
  </si>
  <si>
    <t xml:space="preserve">Gunakan saat menganalisa kasus modul SD (Sales Order, pending order, delivery order, billing, document flow) dengan membaca data dan program di Production AIX secara read-only.</t>
  </si>
  <si>
    <t xml:space="preserve">01_SKILLS/sd-analisa-production/SKILL.md</t>
  </si>
  <si>
    <t xml:space="preserve">fico-analisa-production</t>
  </si>
  <si>
    <t xml:space="preserve">Gunakan saat menganalisa kasus modul FI/CO (dokumen akuntansi, faktur pajak, change document, upload Z program ke BKPF/BSEG, settlement order) dengan membaca data dan program di Production AIX secara read-only.</t>
  </si>
  <si>
    <t xml:space="preserve">01_SKILLS/fico-analisa-production/SKILL.md</t>
  </si>
  <si>
    <t xml:space="preserve">Glosarium</t>
  </si>
  <si>
    <t xml:space="preserve">Istilah SAP yang sering muncul.</t>
  </si>
  <si>
    <t xml:space="preserve">ABAP</t>
  </si>
  <si>
    <t xml:space="preserve">Bahasa pemrograman SAP. Sistem ini versi 7.31.</t>
  </si>
  <si>
    <t xml:space="preserve">ALV</t>
  </si>
  <si>
    <t xml:space="preserve">ABAP List Viewer — tampilan tabel interaktif (sort, filter, export Excel).</t>
  </si>
  <si>
    <t xml:space="preserve">AUFNR</t>
  </si>
  <si>
    <t xml:space="preserve">Nomor order (Production/Process Order).</t>
  </si>
  <si>
    <t xml:space="preserve">BAPI</t>
  </si>
  <si>
    <t xml:space="preserve">Function Module standar SAP untuk membuat/mengubah data dengan aman (contoh BAPI_GOODSMVT_CREATE).</t>
  </si>
  <si>
    <t xml:space="preserve">Batch (CHARG)</t>
  </si>
  <si>
    <t xml:space="preserve">Nomor lot fisik material. Di Trias: nomor Jumbo Roll / Slit Roll.</t>
  </si>
  <si>
    <t xml:space="preserve">Batch Characteristic</t>
  </si>
  <si>
    <t xml:space="preserve">Atribut batch (panjang, lebar, line produksi). Disimpan di AUSP, definisinya di CABN.</t>
  </si>
  <si>
    <t xml:space="preserve">COA</t>
  </si>
  <si>
    <t xml:space="preserve">Certificate of Analysis — sertifikat hasil uji kualitas untuk customer.</t>
  </si>
  <si>
    <t xml:space="preserve">Combine Order</t>
  </si>
  <si>
    <t xml:space="preserve">Order gabungan beberapa original order dengan spesifikasi sama (Slit Roll).</t>
  </si>
  <si>
    <t xml:space="preserve">COMMIT WORK</t>
  </si>
  <si>
    <t xml:space="preserve">Menyimpan permanen perubahan dalam satu LUW.</t>
  </si>
  <si>
    <t xml:space="preserve">DDIC</t>
  </si>
  <si>
    <t xml:space="preserve">Data Dictionary (SE11): definisi tabel, struktur, data element, domain.</t>
  </si>
  <si>
    <t xml:space="preserve">FM (Function Module)</t>
  </si>
  <si>
    <t xml:space="preserve">Fungsi yang bisa dipanggil ulang (SE37).</t>
  </si>
  <si>
    <t xml:space="preserve">FOR ALL ENTRIES (FAE)</t>
  </si>
  <si>
    <t xml:space="preserve">Teknik SELECT berdasarkan isi internal table. Wajib cek tabel tidak kosong.</t>
  </si>
  <si>
    <t xml:space="preserve">FS / TS</t>
  </si>
  <si>
    <t xml:space="preserve">Functional Spec (apa yang diminta bisnis) / Technical Spec (bagaimana dibuat).</t>
  </si>
  <si>
    <t xml:space="preserve">GI / GR</t>
  </si>
  <si>
    <t xml:space="preserve">Goods Issue (barang keluar, mvt 261) / Goods Receipt (barang masuk, mvt 101).</t>
  </si>
  <si>
    <t xml:space="preserve">Include</t>
  </si>
  <si>
    <t xml:space="preserve">Potongan source program yang terpisah (_TOP = deklarasi, _F01 = FORM).</t>
  </si>
  <si>
    <t xml:space="preserve">Inspection Lot</t>
  </si>
  <si>
    <t xml:space="preserve">Lot pemeriksaan QM (tabel QALS).</t>
  </si>
  <si>
    <t xml:space="preserve">JR / SR</t>
  </si>
  <si>
    <t xml:space="preserve">Jumbo Roll (roll besar hasil mesin) / Slit Roll (roll hasil potong).</t>
  </si>
  <si>
    <t xml:space="preserve">LUW</t>
  </si>
  <si>
    <t xml:space="preserve">Logical Unit of Work — sekumpulan perubahan yang sukses semua atau batal semua.</t>
  </si>
  <si>
    <t xml:space="preserve">MIC</t>
  </si>
  <si>
    <t xml:space="preserve">Master Inspection Characteristic — parameter uji QM.</t>
  </si>
  <si>
    <t xml:space="preserve">Movement Type (BWART)</t>
  </si>
  <si>
    <t xml:space="preserve">Kode jenis pergerakan stok: 101 GR, 102 batal GR, 261 GI, 262 batal GI, 411 transfer, 531 by-product.</t>
  </si>
  <si>
    <t xml:space="preserve">MCP</t>
  </si>
  <si>
    <t xml:space="preserve">Model Context Protocol — jembatan agar AI bisa membaca SAP/RAG.</t>
  </si>
  <si>
    <t xml:space="preserve">RAG</t>
  </si>
  <si>
    <t xml:space="preserve">Retrieval Augmented Generation — AI mencari dokumen knowledge sebelum menjawab.</t>
  </si>
  <si>
    <t xml:space="preserve">Reversal / Storno</t>
  </si>
  <si>
    <t xml:space="preserve">Pembatalan dokumen. Di MSEG ditandai SMBLN (nomor dokumen yang dibatalkan).</t>
  </si>
  <si>
    <t xml:space="preserve">Selection Screen</t>
  </si>
  <si>
    <t xml:space="preserve">Layar input parameter sebelum report dijalankan.</t>
  </si>
  <si>
    <t xml:space="preserve">Smart Form</t>
  </si>
  <si>
    <t xml:space="preserve">Desain form cetak (SMARTFORMS). Contoh ZQMF_COA.</t>
  </si>
  <si>
    <t xml:space="preserve">ST22 / SM21 / ST05</t>
  </si>
  <si>
    <t xml:space="preserve">Short dump / System log / SQL trace.</t>
  </si>
  <si>
    <t xml:space="preserve">TCODE</t>
  </si>
  <si>
    <t xml:space="preserve">Transaction code, jalan pintas ke program (contoh ZPP090). Mapping di TSTC.</t>
  </si>
  <si>
    <t xml:space="preserve">TECO</t>
  </si>
  <si>
    <t xml:space="preserve">Technically Completed — status order yang sudah selesai teknis.</t>
  </si>
  <si>
    <t xml:space="preserve">UD</t>
  </si>
  <si>
    <t xml:space="preserve">Usage Decision — keputusan akhir inspection lot (diterima/ditolak).</t>
  </si>
  <si>
    <t xml:space="preserve">Z program</t>
  </si>
  <si>
    <t xml:space="preserve">Program custom buatan perusahaan, namanya diawali Z atau Y.</t>
  </si>
  <si>
    <t xml:space="preserve">ZMAP_TYPE</t>
  </si>
  <si>
    <t xml:space="preserve">Tabel Z konfigurasi/mapping umum, dipakai banyak program (PROG/TYPE/OPT/VALUE).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</si>
</sst>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%"/>
    <numFmt numFmtId="167" formatCode="0.0"/>
    <numFmt numFmtId="168" formatCode="dd\-mm\-yyyy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62626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1"/>
      <color rgb="FFC9A227"/>
      <name val="Arial"/>
      <family val="0"/>
      <charset val="1"/>
    </font>
    <font>
      <b val="true"/>
      <sz val="9"/>
      <color rgb="FF262626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.5"/>
      <color rgb="FF262626"/>
      <name val="Arial"/>
      <family val="0"/>
      <charset val="1"/>
    </font>
    <font>
      <sz val="9.5"/>
      <color rgb="FF262626"/>
      <name val="Arial"/>
      <family val="0"/>
      <charset val="1"/>
    </font>
    <font>
      <i val="true"/>
      <sz val="10"/>
      <color rgb="FF7F6000"/>
      <name val="Arial"/>
      <family val="0"/>
      <charset val="1"/>
    </font>
    <font>
      <sz val="9"/>
      <color rgb="FF262626"/>
      <name val="Courier New"/>
      <family val="0"/>
      <charset val="1"/>
    </font>
    <font>
      <sz val="8"/>
      <color rgb="FF2E75B6"/>
      <name val="Arial"/>
      <family val="0"/>
      <charset val="1"/>
    </font>
    <font>
      <sz val="9.5"/>
      <color rgb="FF595959"/>
      <name val="Arial"/>
      <family val="0"/>
      <charset val="1"/>
    </font>
    <font>
      <b val="true"/>
      <sz val="9.5"/>
      <color rgb="FFC00000"/>
      <name val="Arial"/>
      <family val="0"/>
      <charset val="1"/>
    </font>
    <font>
      <b val="true"/>
      <sz val="9.5"/>
      <color rgb="FF006100"/>
      <name val="Arial"/>
      <family val="0"/>
      <charset val="1"/>
    </font>
    <font>
      <b val="true"/>
      <sz val="10"/>
      <color rgb="FF26262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00000"/>
        <bgColor rgb="FF800000"/>
      </patternFill>
    </fill>
    <fill>
      <patternFill patternType="solid">
        <fgColor rgb="FF2E75B6"/>
        <bgColor rgb="FF0066CC"/>
      </patternFill>
    </fill>
    <fill>
      <patternFill patternType="solid">
        <fgColor rgb="FFFFF4CC"/>
        <bgColor rgb="FFF3F3F3"/>
      </patternFill>
    </fill>
    <fill>
      <patternFill patternType="solid">
        <fgColor rgb="FFF7FAFD"/>
        <bgColor rgb="FFFFFFFF"/>
      </patternFill>
    </fill>
    <fill>
      <patternFill patternType="solid">
        <fgColor rgb="FFDDEBF7"/>
        <bgColor rgb="FFF3F3F3"/>
      </patternFill>
    </fill>
    <fill>
      <patternFill patternType="solid">
        <fgColor rgb="FFF3F3F3"/>
        <bgColor rgb="FFF7FAFD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7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8" fillId="6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7FAF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62626"/>
          <bgColor rgb="FF000000"/>
        </patternFill>
      </fill>
    </dxf>
    <dxf>
      <fill>
        <patternFill patternType="solid">
          <fgColor rgb="FFC9A227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C0C0C0"/>
      <rgbColor rgb="FF7F7F7F"/>
      <rgbColor rgb="FF9999FF"/>
      <rgbColor rgb="FF7030A0"/>
      <rgbColor rgb="FFFFF4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6EFCE"/>
      <rgbColor rgb="FFFFEB9C"/>
      <rgbColor rgb="FF99CCFF"/>
      <rgbColor rgb="FFFF99CC"/>
      <rgbColor rgb="FFCC99FF"/>
      <rgbColor rgb="FFF7FAFD"/>
      <rgbColor rgb="FF2E75B6"/>
      <rgbColor rgb="FF33CCCC"/>
      <rgbColor rgb="FF99CC00"/>
      <rgbColor rgb="FFFFCC00"/>
      <rgbColor rgb="FFC9A227"/>
      <rgbColor rgb="FFED7D31"/>
      <rgbColor rgb="FF595959"/>
      <rgbColor rgb="FF969696"/>
      <rgbColor rgb="FF1F3864"/>
      <rgbColor rgb="FF00B050"/>
      <rgbColor rgb="FF003300"/>
      <rgbColor rgb="FF333300"/>
      <rgbColor rgb="FF9C57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Training_SAP_AI_14_Hari.xlsx" TargetMode="External"/><Relationship Id="rId2" Type="http://schemas.openxmlformats.org/officeDocument/2006/relationships/hyperlink" Target="Training_SAP_AI_14_Hari.xlsx" TargetMode="External"/><Relationship Id="rId3" Type="http://schemas.openxmlformats.org/officeDocument/2006/relationships/hyperlink" Target="Training_SAP_AI_14_Hari.xlsx" TargetMode="External"/><Relationship Id="rId4" Type="http://schemas.openxmlformats.org/officeDocument/2006/relationships/hyperlink" Target="Training_SAP_AI_14_Hari.xlsx" TargetMode="External"/><Relationship Id="rId5" Type="http://schemas.openxmlformats.org/officeDocument/2006/relationships/hyperlink" Target="Training_SAP_AI_14_Hari.xlsx" TargetMode="External"/><Relationship Id="rId6" Type="http://schemas.openxmlformats.org/officeDocument/2006/relationships/hyperlink" Target="Training_SAP_AI_14_Hari.xlsx" TargetMode="External"/><Relationship Id="rId7" Type="http://schemas.openxmlformats.org/officeDocument/2006/relationships/hyperlink" Target="Training_SAP_AI_14_Hari.xlsx" TargetMode="External"/><Relationship Id="rId8" Type="http://schemas.openxmlformats.org/officeDocument/2006/relationships/hyperlink" Target="Training_SAP_AI_14_Hari.xlsx" TargetMode="External"/><Relationship Id="rId9" Type="http://schemas.openxmlformats.org/officeDocument/2006/relationships/hyperlink" Target="Training_SAP_AI_14_Hari.xlsx" TargetMode="External"/><Relationship Id="rId10" Type="http://schemas.openxmlformats.org/officeDocument/2006/relationships/hyperlink" Target="Training_SAP_AI_14_Hari.xlsx" TargetMode="External"/><Relationship Id="rId11" Type="http://schemas.openxmlformats.org/officeDocument/2006/relationships/hyperlink" Target="Training_SAP_AI_14_Hari.xlsx" TargetMode="External"/><Relationship Id="rId12" Type="http://schemas.openxmlformats.org/officeDocument/2006/relationships/hyperlink" Target="Training_SAP_AI_14_Hari.xlsx" TargetMode="External"/><Relationship Id="rId13" Type="http://schemas.openxmlformats.org/officeDocument/2006/relationships/hyperlink" Target="Training_SAP_AI_14_Hari.xlsx" TargetMode="External"/><Relationship Id="rId14" Type="http://schemas.openxmlformats.org/officeDocument/2006/relationships/hyperlink" Target="Training_SAP_AI_14_Hari.xlsx" TargetMode="External"/><Relationship Id="rId15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Training_SAP_AI_14_Hari.xlsx" TargetMode="External"/><Relationship Id="rId2" Type="http://schemas.openxmlformats.org/officeDocument/2006/relationships/hyperlink" Target="Training_SAP_AI_14_Hari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Training_SAP_AI_14_Hari.xlsx" TargetMode="External"/><Relationship Id="rId2" Type="http://schemas.openxmlformats.org/officeDocument/2006/relationships/hyperlink" Target="Training_SAP_AI_14_Hari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Training_SAP_AI_14_Hari.xlsx" TargetMode="External"/><Relationship Id="rId2" Type="http://schemas.openxmlformats.org/officeDocument/2006/relationships/hyperlink" Target="Training_SAP_AI_14_Hari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Training_SAP_AI_14_Hari.xlsx" TargetMode="External"/><Relationship Id="rId2" Type="http://schemas.openxmlformats.org/officeDocument/2006/relationships/hyperlink" Target="Training_SAP_AI_14_Hari.xls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Training_SAP_AI_14_Hari.xlsx" TargetMode="External"/><Relationship Id="rId2" Type="http://schemas.openxmlformats.org/officeDocument/2006/relationships/hyperlink" Target="Training_SAP_AI_14_Hari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Training_SAP_AI_14_Hari.xlsx" TargetMode="External"/><Relationship Id="rId2" Type="http://schemas.openxmlformats.org/officeDocument/2006/relationships/hyperlink" Target="Training_SAP_AI_14_Hari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Training_SAP_AI_14_Hari.xlsx" TargetMode="External"/><Relationship Id="rId2" Type="http://schemas.openxmlformats.org/officeDocument/2006/relationships/hyperlink" Target="Training_SAP_AI_14_Hari.xlsx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Training_SAP_AI_14_Hari.xlsx" TargetMode="External"/><Relationship Id="rId2" Type="http://schemas.openxmlformats.org/officeDocument/2006/relationships/hyperlink" Target="Training_SAP_AI_14_Hari.xlsx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Training_SAP_AI_14_Hari.xlsx" TargetMode="External"/><Relationship Id="rId2" Type="http://schemas.openxmlformats.org/officeDocument/2006/relationships/hyperlink" Target="Training_SAP_AI_14_Hari.xlsx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Training_SAP_AI_14_Hari.xlsx" TargetMode="External"/><Relationship Id="rId2" Type="http://schemas.openxmlformats.org/officeDocument/2006/relationships/hyperlink" Target="Training_SAP_AI_14_Hari.xlsx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Training_SAP_AI_14_Hari.xlsx" TargetMode="External"/><Relationship Id="rId2" Type="http://schemas.openxmlformats.org/officeDocument/2006/relationships/hyperlink" Target="Training_SAP_AI_14_Hari.xlsx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Training_SAP_AI_14_Hari.xlsx" TargetMode="External"/><Relationship Id="rId2" Type="http://schemas.openxmlformats.org/officeDocument/2006/relationships/hyperlink" Target="Training_SAP_AI_14_Hari.xlsx" TargetMode="Externa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Training_SAP_AI_14_Hari.xlsx" TargetMode="External"/><Relationship Id="rId2" Type="http://schemas.openxmlformats.org/officeDocument/2006/relationships/hyperlink" Target="Training_SAP_AI_14_Hari.xlsx" TargetMode="Externa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Training_SAP_AI_14_Hari.xlsx" TargetMode="External"/><Relationship Id="rId2" Type="http://schemas.openxmlformats.org/officeDocument/2006/relationships/hyperlink" Target="Training_SAP_AI_14_Hari.xlsx" TargetMode="Externa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Training_SAP_AI_14_Hari.xlsx" TargetMode="External"/><Relationship Id="rId2" Type="http://schemas.openxmlformats.org/officeDocument/2006/relationships/hyperlink" Target="Training_SAP_AI_14_Hari.xlsx" TargetMode="External"/><Relationship Id="rId3" Type="http://schemas.openxmlformats.org/officeDocument/2006/relationships/hyperlink" Target="Training_SAP_AI_14_Hari.xlsx" TargetMode="External"/><Relationship Id="rId4" Type="http://schemas.openxmlformats.org/officeDocument/2006/relationships/hyperlink" Target="Training_SAP_AI_14_Hari.xlsx" TargetMode="External"/><Relationship Id="rId5" Type="http://schemas.openxmlformats.org/officeDocument/2006/relationships/hyperlink" Target="Training_SAP_AI_14_Hari.xlsx" TargetMode="External"/><Relationship Id="rId6" Type="http://schemas.openxmlformats.org/officeDocument/2006/relationships/hyperlink" Target="Training_SAP_AI_14_Hari.xlsx" TargetMode="External"/><Relationship Id="rId7" Type="http://schemas.openxmlformats.org/officeDocument/2006/relationships/hyperlink" Target="Training_SAP_AI_14_Hari.xlsx" TargetMode="External"/><Relationship Id="rId8" Type="http://schemas.openxmlformats.org/officeDocument/2006/relationships/hyperlink" Target="Training_SAP_AI_14_Hari.xlsx" TargetMode="External"/><Relationship Id="rId9" Type="http://schemas.openxmlformats.org/officeDocument/2006/relationships/hyperlink" Target="Training_SAP_AI_14_Hari.xlsx" TargetMode="External"/><Relationship Id="rId10" Type="http://schemas.openxmlformats.org/officeDocument/2006/relationships/hyperlink" Target="Training_SAP_AI_14_Hari.xlsx" TargetMode="External"/><Relationship Id="rId11" Type="http://schemas.openxmlformats.org/officeDocument/2006/relationships/hyperlink" Target="Training_SAP_AI_14_Hari.xlsx" TargetMode="External"/><Relationship Id="rId12" Type="http://schemas.openxmlformats.org/officeDocument/2006/relationships/hyperlink" Target="Training_SAP_AI_14_Hari.xlsx" TargetMode="External"/><Relationship Id="rId13" Type="http://schemas.openxmlformats.org/officeDocument/2006/relationships/hyperlink" Target="Training_SAP_AI_14_Hari.xlsx" TargetMode="External"/><Relationship Id="rId14" Type="http://schemas.openxmlformats.org/officeDocument/2006/relationships/hyperlink" Target="Training_SAP_AI_14_Hari.xlsx" TargetMode="Externa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F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4" min="4" style="0" width="3"/>
    <col collapsed="false" customWidth="true" hidden="false" outlineLevel="0" max="5" min="5" style="0" width="22"/>
    <col collapsed="false" customWidth="true" hidden="false" outlineLevel="0" max="6" min="6" style="0" width="18"/>
  </cols>
  <sheetData>
    <row r="1" customFormat="false" ht="7.5" hidden="false" customHeight="true" outlineLevel="0" collapsed="false"/>
    <row r="2" customFormat="false" ht="30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6" hidden="false" customHeight="true" outlineLevel="0" collapsed="false">
      <c r="B4" s="3"/>
      <c r="C4" s="3"/>
      <c r="D4" s="3"/>
      <c r="E4" s="3"/>
      <c r="F4" s="3"/>
    </row>
    <row r="6" customFormat="false" ht="21.75" hidden="false" customHeight="true" outlineLevel="0" collapsed="false">
      <c r="B6" s="4" t="s">
        <v>2</v>
      </c>
      <c r="C6" s="4"/>
      <c r="E6" s="4" t="s">
        <v>3</v>
      </c>
      <c r="F6" s="4"/>
    </row>
    <row r="7" customFormat="false" ht="24" hidden="false" customHeight="true" outlineLevel="0" collapsed="false">
      <c r="B7" s="5" t="s">
        <v>4</v>
      </c>
      <c r="C7" s="6" t="s">
        <v>5</v>
      </c>
      <c r="E7" s="7" t="s">
        <v>6</v>
      </c>
      <c r="F7" s="8" t="n">
        <f aca="false">COUNTA(Jadwal!$B$7:$B$20)</f>
        <v>14</v>
      </c>
    </row>
    <row r="8" customFormat="false" ht="24" hidden="false" customHeight="true" outlineLevel="0" collapsed="false">
      <c r="B8" s="5" t="s">
        <v>4</v>
      </c>
      <c r="C8" s="6" t="s">
        <v>7</v>
      </c>
      <c r="E8" s="7" t="s">
        <v>8</v>
      </c>
      <c r="F8" s="8" t="n">
        <f aca="false">COUNTIF(Jadwal!$J$7:$J$20,"Selesai")</f>
        <v>0</v>
      </c>
    </row>
    <row r="9" customFormat="false" ht="24" hidden="false" customHeight="true" outlineLevel="0" collapsed="false">
      <c r="B9" s="5" t="s">
        <v>4</v>
      </c>
      <c r="C9" s="6" t="s">
        <v>9</v>
      </c>
      <c r="E9" s="7" t="s">
        <v>10</v>
      </c>
      <c r="F9" s="8" t="n">
        <f aca="false">COUNTIF(Jadwal!$J$7:$J$20,"Proses")</f>
        <v>0</v>
      </c>
    </row>
    <row r="10" customFormat="false" ht="24" hidden="false" customHeight="true" outlineLevel="0" collapsed="false">
      <c r="E10" s="7" t="s">
        <v>11</v>
      </c>
      <c r="F10" s="9" t="n">
        <f aca="false">IF(F7=0,0,F8/F7)</f>
        <v>0</v>
      </c>
    </row>
    <row r="11" customFormat="false" ht="24" hidden="false" customHeight="true" outlineLevel="0" collapsed="false">
      <c r="B11" s="4" t="s">
        <v>12</v>
      </c>
      <c r="C11" s="4"/>
      <c r="E11" s="7" t="s">
        <v>13</v>
      </c>
      <c r="F11" s="10" t="str">
        <f aca="false">IF(COUNT(Jadwal!$L$7:$L$20)=0,"-",AVERAGE(Jadwal!$L$7:$L$20))</f>
        <v>-</v>
      </c>
    </row>
    <row r="12" customFormat="false" ht="31.5" hidden="false" customHeight="true" outlineLevel="0" collapsed="false">
      <c r="B12" s="11" t="s">
        <v>14</v>
      </c>
      <c r="C12" s="6" t="s">
        <v>15</v>
      </c>
    </row>
    <row r="13" customFormat="false" ht="18" hidden="false" customHeight="true" outlineLevel="0" collapsed="false">
      <c r="B13" s="11" t="s">
        <v>16</v>
      </c>
      <c r="C13" s="6" t="s">
        <v>17</v>
      </c>
    </row>
    <row r="14" customFormat="false" ht="18" hidden="false" customHeight="true" outlineLevel="0" collapsed="false">
      <c r="B14" s="11" t="s">
        <v>18</v>
      </c>
      <c r="C14" s="6" t="s">
        <v>19</v>
      </c>
    </row>
    <row r="16" customFormat="false" ht="21.75" hidden="false" customHeight="true" outlineLevel="0" collapsed="false">
      <c r="B16" s="12" t="s">
        <v>20</v>
      </c>
      <c r="C16" s="12"/>
    </row>
    <row r="17" customFormat="false" ht="18" hidden="false" customHeight="true" outlineLevel="0" collapsed="false">
      <c r="B17" s="13" t="s">
        <v>21</v>
      </c>
      <c r="C17" s="6" t="s">
        <v>22</v>
      </c>
    </row>
    <row r="18" customFormat="false" ht="31.5" hidden="false" customHeight="true" outlineLevel="0" collapsed="false">
      <c r="B18" s="13" t="s">
        <v>23</v>
      </c>
      <c r="C18" s="6" t="s">
        <v>24</v>
      </c>
    </row>
    <row r="19" customFormat="false" ht="31.5" hidden="false" customHeight="true" outlineLevel="0" collapsed="false">
      <c r="B19" s="13" t="s">
        <v>25</v>
      </c>
      <c r="C19" s="6" t="s">
        <v>26</v>
      </c>
    </row>
    <row r="21" customFormat="false" ht="21.75" hidden="false" customHeight="true" outlineLevel="0" collapsed="false">
      <c r="B21" s="4" t="s">
        <v>27</v>
      </c>
      <c r="C21" s="4"/>
    </row>
    <row r="22" customFormat="false" ht="31.5" hidden="false" customHeight="true" outlineLevel="0" collapsed="false">
      <c r="B22" s="11" t="s">
        <v>28</v>
      </c>
      <c r="C22" s="6" t="s">
        <v>29</v>
      </c>
    </row>
    <row r="23" customFormat="false" ht="31.5" hidden="false" customHeight="true" outlineLevel="0" collapsed="false">
      <c r="B23" s="11" t="s">
        <v>30</v>
      </c>
      <c r="C23" s="6" t="s">
        <v>31</v>
      </c>
    </row>
    <row r="24" customFormat="false" ht="18" hidden="false" customHeight="true" outlineLevel="0" collapsed="false">
      <c r="B24" s="11" t="s">
        <v>32</v>
      </c>
      <c r="C24" s="6" t="s">
        <v>33</v>
      </c>
    </row>
    <row r="25" customFormat="false" ht="18" hidden="false" customHeight="true" outlineLevel="0" collapsed="false">
      <c r="B25" s="11" t="s">
        <v>34</v>
      </c>
      <c r="C25" s="6" t="s">
        <v>35</v>
      </c>
    </row>
    <row r="26" customFormat="false" ht="18" hidden="false" customHeight="true" outlineLevel="0" collapsed="false">
      <c r="B26" s="11" t="s">
        <v>36</v>
      </c>
      <c r="C26" s="6" t="s">
        <v>37</v>
      </c>
    </row>
    <row r="27" customFormat="false" ht="31.5" hidden="false" customHeight="true" outlineLevel="0" collapsed="false">
      <c r="B27" s="11" t="s">
        <v>38</v>
      </c>
      <c r="C27" s="6" t="s">
        <v>39</v>
      </c>
    </row>
  </sheetData>
  <mergeCells count="5">
    <mergeCell ref="B6:C6"/>
    <mergeCell ref="E6:F6"/>
    <mergeCell ref="B11:C11"/>
    <mergeCell ref="B16:C16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M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38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40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36"/>
  </cols>
  <sheetData>
    <row r="1" customFormat="false" ht="7.5" hidden="false" customHeight="true" outlineLevel="0" collapsed="false"/>
    <row r="2" customFormat="false" ht="30" hidden="false" customHeight="true" outlineLevel="0" collapsed="false">
      <c r="B2" s="1" t="s">
        <v>40</v>
      </c>
    </row>
    <row r="3" customFormat="false" ht="15" hidden="false" customHeight="false" outlineLevel="0" collapsed="false">
      <c r="B3" s="2" t="s">
        <v>41</v>
      </c>
    </row>
    <row r="4" customFormat="false" ht="6" hidden="false" customHeight="true" outlineLevel="0" collapsed="false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30" hidden="false" customHeight="true" outlineLevel="0" collapsed="false">
      <c r="B6" s="14" t="s">
        <v>42</v>
      </c>
      <c r="C6" s="14" t="s">
        <v>43</v>
      </c>
      <c r="D6" s="14" t="s">
        <v>44</v>
      </c>
      <c r="E6" s="14" t="s">
        <v>45</v>
      </c>
      <c r="F6" s="14" t="s">
        <v>46</v>
      </c>
      <c r="G6" s="14" t="s">
        <v>47</v>
      </c>
      <c r="H6" s="14" t="s">
        <v>48</v>
      </c>
      <c r="I6" s="14" t="s">
        <v>49</v>
      </c>
      <c r="J6" s="14" t="s">
        <v>50</v>
      </c>
      <c r="K6" s="14" t="s">
        <v>51</v>
      </c>
      <c r="L6" s="14" t="s">
        <v>52</v>
      </c>
      <c r="M6" s="14" t="s">
        <v>53</v>
      </c>
    </row>
    <row r="7" customFormat="false" ht="33.75" hidden="false" customHeight="true" outlineLevel="0" collapsed="false">
      <c r="B7" s="15" t="s">
        <v>54</v>
      </c>
      <c r="C7" s="16" t="s">
        <v>55</v>
      </c>
      <c r="D7" s="16" t="s">
        <v>56</v>
      </c>
      <c r="E7" s="17" t="s">
        <v>57</v>
      </c>
      <c r="F7" s="18" t="s">
        <v>58</v>
      </c>
      <c r="G7" s="16" t="s">
        <v>59</v>
      </c>
      <c r="H7" s="16" t="s">
        <v>60</v>
      </c>
      <c r="I7" s="17" t="s">
        <v>61</v>
      </c>
      <c r="J7" s="19" t="s">
        <v>62</v>
      </c>
      <c r="K7" s="20"/>
      <c r="L7" s="19"/>
      <c r="M7" s="21"/>
    </row>
    <row r="8" customFormat="false" ht="33.75" hidden="false" customHeight="true" outlineLevel="0" collapsed="false">
      <c r="B8" s="22" t="s">
        <v>63</v>
      </c>
      <c r="C8" s="23" t="s">
        <v>55</v>
      </c>
      <c r="D8" s="23" t="s">
        <v>64</v>
      </c>
      <c r="E8" s="24" t="s">
        <v>57</v>
      </c>
      <c r="F8" s="25" t="s">
        <v>65</v>
      </c>
      <c r="G8" s="23" t="s">
        <v>66</v>
      </c>
      <c r="H8" s="23" t="s">
        <v>67</v>
      </c>
      <c r="I8" s="24" t="s">
        <v>68</v>
      </c>
      <c r="J8" s="19" t="s">
        <v>62</v>
      </c>
      <c r="K8" s="20"/>
      <c r="L8" s="19"/>
      <c r="M8" s="21"/>
    </row>
    <row r="9" customFormat="false" ht="33.75" hidden="false" customHeight="true" outlineLevel="0" collapsed="false">
      <c r="B9" s="15" t="s">
        <v>69</v>
      </c>
      <c r="C9" s="16" t="s">
        <v>55</v>
      </c>
      <c r="D9" s="16" t="s">
        <v>70</v>
      </c>
      <c r="E9" s="17" t="s">
        <v>57</v>
      </c>
      <c r="F9" s="18" t="s">
        <v>65</v>
      </c>
      <c r="G9" s="16" t="s">
        <v>71</v>
      </c>
      <c r="H9" s="16" t="s">
        <v>72</v>
      </c>
      <c r="I9" s="17" t="s">
        <v>68</v>
      </c>
      <c r="J9" s="19" t="s">
        <v>62</v>
      </c>
      <c r="K9" s="20"/>
      <c r="L9" s="19"/>
      <c r="M9" s="21"/>
    </row>
    <row r="10" customFormat="false" ht="33.75" hidden="false" customHeight="true" outlineLevel="0" collapsed="false">
      <c r="B10" s="22" t="s">
        <v>73</v>
      </c>
      <c r="C10" s="23" t="s">
        <v>55</v>
      </c>
      <c r="D10" s="23" t="s">
        <v>74</v>
      </c>
      <c r="E10" s="24" t="s">
        <v>57</v>
      </c>
      <c r="F10" s="25" t="s">
        <v>65</v>
      </c>
      <c r="G10" s="23" t="s">
        <v>75</v>
      </c>
      <c r="H10" s="23" t="s">
        <v>76</v>
      </c>
      <c r="I10" s="24" t="s">
        <v>68</v>
      </c>
      <c r="J10" s="19" t="s">
        <v>62</v>
      </c>
      <c r="K10" s="20"/>
      <c r="L10" s="19"/>
      <c r="M10" s="21"/>
    </row>
    <row r="11" customFormat="false" ht="33.75" hidden="false" customHeight="true" outlineLevel="0" collapsed="false">
      <c r="B11" s="15" t="s">
        <v>77</v>
      </c>
      <c r="C11" s="16" t="s">
        <v>55</v>
      </c>
      <c r="D11" s="16" t="s">
        <v>78</v>
      </c>
      <c r="E11" s="17" t="s">
        <v>57</v>
      </c>
      <c r="F11" s="18" t="s">
        <v>65</v>
      </c>
      <c r="G11" s="16" t="s">
        <v>79</v>
      </c>
      <c r="H11" s="16" t="s">
        <v>80</v>
      </c>
      <c r="I11" s="17" t="s">
        <v>81</v>
      </c>
      <c r="J11" s="19" t="s">
        <v>62</v>
      </c>
      <c r="K11" s="20"/>
      <c r="L11" s="19"/>
      <c r="M11" s="21"/>
    </row>
    <row r="12" customFormat="false" ht="33.75" hidden="false" customHeight="true" outlineLevel="0" collapsed="false">
      <c r="B12" s="22" t="s">
        <v>82</v>
      </c>
      <c r="C12" s="23" t="s">
        <v>83</v>
      </c>
      <c r="D12" s="23" t="s">
        <v>84</v>
      </c>
      <c r="E12" s="24" t="s">
        <v>85</v>
      </c>
      <c r="F12" s="25" t="s">
        <v>65</v>
      </c>
      <c r="G12" s="23" t="s">
        <v>86</v>
      </c>
      <c r="H12" s="23" t="s">
        <v>87</v>
      </c>
      <c r="I12" s="24" t="s">
        <v>68</v>
      </c>
      <c r="J12" s="19" t="s">
        <v>62</v>
      </c>
      <c r="K12" s="20"/>
      <c r="L12" s="19"/>
      <c r="M12" s="21"/>
    </row>
    <row r="13" customFormat="false" ht="33.75" hidden="false" customHeight="true" outlineLevel="0" collapsed="false">
      <c r="B13" s="15" t="s">
        <v>88</v>
      </c>
      <c r="C13" s="16" t="s">
        <v>83</v>
      </c>
      <c r="D13" s="16" t="s">
        <v>89</v>
      </c>
      <c r="E13" s="17" t="s">
        <v>90</v>
      </c>
      <c r="F13" s="18" t="s">
        <v>65</v>
      </c>
      <c r="G13" s="16" t="s">
        <v>91</v>
      </c>
      <c r="H13" s="16" t="s">
        <v>92</v>
      </c>
      <c r="I13" s="17" t="s">
        <v>68</v>
      </c>
      <c r="J13" s="19" t="s">
        <v>62</v>
      </c>
      <c r="K13" s="20"/>
      <c r="L13" s="19"/>
      <c r="M13" s="21"/>
    </row>
    <row r="14" customFormat="false" ht="33.75" hidden="false" customHeight="true" outlineLevel="0" collapsed="false">
      <c r="B14" s="22" t="s">
        <v>93</v>
      </c>
      <c r="C14" s="23" t="s">
        <v>83</v>
      </c>
      <c r="D14" s="23" t="s">
        <v>94</v>
      </c>
      <c r="E14" s="24" t="s">
        <v>95</v>
      </c>
      <c r="F14" s="25" t="s">
        <v>96</v>
      </c>
      <c r="G14" s="23" t="s">
        <v>97</v>
      </c>
      <c r="H14" s="23" t="s">
        <v>98</v>
      </c>
      <c r="I14" s="24" t="s">
        <v>68</v>
      </c>
      <c r="J14" s="19" t="s">
        <v>62</v>
      </c>
      <c r="K14" s="20"/>
      <c r="L14" s="19"/>
      <c r="M14" s="21"/>
    </row>
    <row r="15" customFormat="false" ht="33.75" hidden="false" customHeight="true" outlineLevel="0" collapsed="false">
      <c r="B15" s="15" t="s">
        <v>99</v>
      </c>
      <c r="C15" s="16" t="s">
        <v>83</v>
      </c>
      <c r="D15" s="16" t="s">
        <v>100</v>
      </c>
      <c r="E15" s="17" t="s">
        <v>101</v>
      </c>
      <c r="F15" s="18" t="s">
        <v>96</v>
      </c>
      <c r="G15" s="16" t="s">
        <v>102</v>
      </c>
      <c r="H15" s="16" t="s">
        <v>103</v>
      </c>
      <c r="I15" s="17" t="s">
        <v>81</v>
      </c>
      <c r="J15" s="19" t="s">
        <v>62</v>
      </c>
      <c r="K15" s="20"/>
      <c r="L15" s="19"/>
      <c r="M15" s="21"/>
    </row>
    <row r="16" customFormat="false" ht="33.75" hidden="false" customHeight="true" outlineLevel="0" collapsed="false">
      <c r="B16" s="22" t="s">
        <v>104</v>
      </c>
      <c r="C16" s="23" t="s">
        <v>83</v>
      </c>
      <c r="D16" s="23" t="s">
        <v>105</v>
      </c>
      <c r="E16" s="24" t="s">
        <v>106</v>
      </c>
      <c r="F16" s="25" t="s">
        <v>96</v>
      </c>
      <c r="G16" s="23" t="s">
        <v>107</v>
      </c>
      <c r="H16" s="23" t="s">
        <v>108</v>
      </c>
      <c r="I16" s="24" t="s">
        <v>81</v>
      </c>
      <c r="J16" s="19" t="s">
        <v>62</v>
      </c>
      <c r="K16" s="20"/>
      <c r="L16" s="19"/>
      <c r="M16" s="21"/>
    </row>
    <row r="17" customFormat="false" ht="33.75" hidden="false" customHeight="true" outlineLevel="0" collapsed="false">
      <c r="B17" s="15" t="s">
        <v>109</v>
      </c>
      <c r="C17" s="16" t="s">
        <v>83</v>
      </c>
      <c r="D17" s="16" t="s">
        <v>110</v>
      </c>
      <c r="E17" s="17" t="s">
        <v>111</v>
      </c>
      <c r="F17" s="18" t="s">
        <v>96</v>
      </c>
      <c r="G17" s="16" t="s">
        <v>112</v>
      </c>
      <c r="H17" s="16" t="s">
        <v>113</v>
      </c>
      <c r="I17" s="17" t="s">
        <v>81</v>
      </c>
      <c r="J17" s="19" t="s">
        <v>62</v>
      </c>
      <c r="K17" s="20"/>
      <c r="L17" s="19"/>
      <c r="M17" s="21"/>
    </row>
    <row r="18" customFormat="false" ht="33.75" hidden="false" customHeight="true" outlineLevel="0" collapsed="false">
      <c r="B18" s="22" t="s">
        <v>114</v>
      </c>
      <c r="C18" s="23" t="s">
        <v>115</v>
      </c>
      <c r="D18" s="23" t="s">
        <v>116</v>
      </c>
      <c r="E18" s="24" t="s">
        <v>117</v>
      </c>
      <c r="F18" s="25" t="s">
        <v>96</v>
      </c>
      <c r="G18" s="23" t="s">
        <v>118</v>
      </c>
      <c r="H18" s="23" t="s">
        <v>119</v>
      </c>
      <c r="I18" s="24" t="s">
        <v>81</v>
      </c>
      <c r="J18" s="19" t="s">
        <v>62</v>
      </c>
      <c r="K18" s="20"/>
      <c r="L18" s="19"/>
      <c r="M18" s="21"/>
    </row>
    <row r="19" customFormat="false" ht="33.75" hidden="false" customHeight="true" outlineLevel="0" collapsed="false">
      <c r="B19" s="15" t="s">
        <v>120</v>
      </c>
      <c r="C19" s="16" t="s">
        <v>115</v>
      </c>
      <c r="D19" s="16" t="s">
        <v>121</v>
      </c>
      <c r="E19" s="17" t="s">
        <v>122</v>
      </c>
      <c r="F19" s="18" t="s">
        <v>123</v>
      </c>
      <c r="G19" s="16" t="s">
        <v>124</v>
      </c>
      <c r="H19" s="16" t="s">
        <v>125</v>
      </c>
      <c r="I19" s="17" t="s">
        <v>126</v>
      </c>
      <c r="J19" s="19" t="s">
        <v>62</v>
      </c>
      <c r="K19" s="20"/>
      <c r="L19" s="19"/>
      <c r="M19" s="21"/>
    </row>
    <row r="20" customFormat="false" ht="33.75" hidden="false" customHeight="true" outlineLevel="0" collapsed="false">
      <c r="B20" s="22" t="s">
        <v>127</v>
      </c>
      <c r="C20" s="23" t="s">
        <v>115</v>
      </c>
      <c r="D20" s="23" t="s">
        <v>128</v>
      </c>
      <c r="E20" s="24" t="s">
        <v>129</v>
      </c>
      <c r="F20" s="25" t="s">
        <v>123</v>
      </c>
      <c r="G20" s="23" t="s">
        <v>130</v>
      </c>
      <c r="H20" s="23" t="s">
        <v>131</v>
      </c>
      <c r="I20" s="24" t="s">
        <v>132</v>
      </c>
      <c r="J20" s="19" t="s">
        <v>62</v>
      </c>
      <c r="K20" s="20"/>
      <c r="L20" s="19"/>
      <c r="M20" s="21"/>
    </row>
    <row r="22" customFormat="false" ht="15" hidden="false" customHeight="false" outlineLevel="0" collapsed="false">
      <c r="B22" s="11" t="s">
        <v>133</v>
      </c>
    </row>
    <row r="23" customFormat="false" ht="15" hidden="false" customHeight="false" outlineLevel="0" collapsed="false">
      <c r="B23" s="26" t="s">
        <v>134</v>
      </c>
      <c r="D23" s="27" t="s">
        <v>135</v>
      </c>
    </row>
    <row r="24" customFormat="false" ht="15" hidden="false" customHeight="false" outlineLevel="0" collapsed="false">
      <c r="B24" s="28" t="s">
        <v>46</v>
      </c>
      <c r="D24" s="27" t="s">
        <v>136</v>
      </c>
    </row>
    <row r="25" customFormat="false" ht="15" hidden="false" customHeight="false" outlineLevel="0" collapsed="false">
      <c r="B25" s="28" t="s">
        <v>137</v>
      </c>
      <c r="D25" s="27" t="s">
        <v>138</v>
      </c>
    </row>
    <row r="26" customFormat="false" ht="15" hidden="false" customHeight="false" outlineLevel="0" collapsed="false">
      <c r="B26" s="28" t="s">
        <v>139</v>
      </c>
      <c r="D26" s="27" t="s">
        <v>140</v>
      </c>
    </row>
    <row r="28" customFormat="false" ht="15" hidden="false" customHeight="false" outlineLevel="0" collapsed="false">
      <c r="B28" s="29" t="s">
        <v>141</v>
      </c>
    </row>
    <row r="29" customFormat="false" ht="15" hidden="false" customHeight="false" outlineLevel="0" collapsed="false">
      <c r="B29" s="30" t="s">
        <v>54</v>
      </c>
      <c r="C29" s="30"/>
      <c r="D29" s="30" t="s">
        <v>56</v>
      </c>
      <c r="E29" s="30"/>
      <c r="F29" s="30"/>
      <c r="G29" s="30"/>
      <c r="H29" s="30"/>
      <c r="I29" s="30"/>
      <c r="J29" s="30" t="s">
        <v>8</v>
      </c>
      <c r="K29" s="30" t="s">
        <v>142</v>
      </c>
      <c r="L29" s="30" t="n">
        <v>4</v>
      </c>
      <c r="M29" s="30" t="s">
        <v>143</v>
      </c>
    </row>
  </sheetData>
  <autoFilter ref="B6:M20"/>
  <conditionalFormatting sqref="J7:J20">
    <cfRule type="cellIs" priority="2" operator="equal" aboveAverage="0" equalAverage="0" bottom="0" percent="0" rank="0" text="" dxfId="7">
      <formula>"Selesai"</formula>
    </cfRule>
    <cfRule type="cellIs" priority="3" operator="equal" aboveAverage="0" equalAverage="0" bottom="0" percent="0" rank="0" text="" dxfId="8">
      <formula>"Proses"</formula>
    </cfRule>
  </conditionalFormatting>
  <dataValidations count="3">
    <dataValidation allowBlank="true" errorStyle="stop" operator="between" showDropDown="false" showErrorMessage="false" showInputMessage="false" sqref="J7:J20" type="list">
      <formula1>"Belum,Proses,Selesai"</formula1>
      <formula2>0</formula2>
    </dataValidation>
    <dataValidation allowBlank="true" error="Isi angka 1 (bingung) sampai 5 (bisa mengajarkan)" errorStyle="stop" errorTitle="Pemahaman" operator="between" showDropDown="false" showErrorMessage="false" showInputMessage="false" sqref="L7:L20" type="whole">
      <formula1>1</formula1>
      <formula2>5</formula2>
    </dataValidation>
    <dataValidation allowBlank="true" error="Isi tanggal, contoh 03-11-2026" errorStyle="stop" errorTitle="Tanggal" operator="greaterThan" showDropDown="false" showErrorMessage="false" showInputMessage="false" sqref="K7:K20" type="date">
      <formula1>36526</formula1>
      <formula2>0</formula2>
    </dataValidation>
  </dataValidations>
  <hyperlinks>
    <hyperlink ref="B7" r:id="rId1" location="'Day 01'!A1" display="Day 01"/>
    <hyperlink ref="B8" r:id="rId2" location="'Day 02'!A1" display="Day 02"/>
    <hyperlink ref="B9" r:id="rId3" location="'Day 03'!A1" display="Day 03"/>
    <hyperlink ref="B10" r:id="rId4" location="'Day 04'!A1" display="Day 04"/>
    <hyperlink ref="B11" r:id="rId5" location="'Day 05'!A1" display="Day 05"/>
    <hyperlink ref="B12" r:id="rId6" location="'Day 06'!A1" display="Day 06"/>
    <hyperlink ref="B13" r:id="rId7" location="'Day 07'!A1" display="Day 07"/>
    <hyperlink ref="B14" r:id="rId8" location="'Day 08'!A1" display="Day 08"/>
    <hyperlink ref="B15" r:id="rId9" location="'Day 09'!A1" display="Day 09"/>
    <hyperlink ref="B16" r:id="rId10" location="'Day 10'!A1" display="Day 10"/>
    <hyperlink ref="B17" r:id="rId11" location="'Day 11'!A1" display="Day 11"/>
    <hyperlink ref="B18" r:id="rId12" location="'Day 12'!A1" display="Day 12"/>
    <hyperlink ref="B19" r:id="rId13" location="'Day 13'!A1" display="Day 13"/>
    <hyperlink ref="B20" r:id="rId14" location="'Day 14'!A1" display="Day 1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B1:C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00"/>
    <col collapsed="false" customWidth="true" hidden="false" outlineLevel="0" max="4" min="4" style="0" width="3"/>
  </cols>
  <sheetData>
    <row r="1" customFormat="false" ht="7.5" hidden="false" customHeight="true" outlineLevel="0" collapsed="false"/>
    <row r="2" customFormat="false" ht="30" hidden="false" customHeight="true" outlineLevel="0" collapsed="false">
      <c r="B2" s="1" t="s">
        <v>34</v>
      </c>
    </row>
    <row r="3" customFormat="false" ht="15" hidden="false" customHeight="false" outlineLevel="0" collapsed="false">
      <c r="B3" s="2" t="s">
        <v>144</v>
      </c>
    </row>
    <row r="4" customFormat="false" ht="6" hidden="false" customHeight="true" outlineLevel="0" collapsed="false">
      <c r="B4" s="3"/>
      <c r="C4" s="3"/>
    </row>
    <row r="6" customFormat="false" ht="21.75" hidden="false" customHeight="true" outlineLevel="0" collapsed="false">
      <c r="B6" s="4" t="s">
        <v>145</v>
      </c>
      <c r="C6" s="4"/>
    </row>
    <row r="7" customFormat="false" ht="18" hidden="false" customHeight="true" outlineLevel="0" collapsed="false">
      <c r="B7" s="31" t="s">
        <v>146</v>
      </c>
      <c r="C7" s="31" t="s">
        <v>147</v>
      </c>
    </row>
    <row r="8" customFormat="false" ht="60" hidden="false" customHeight="true" outlineLevel="0" collapsed="false">
      <c r="B8" s="32" t="s">
        <v>148</v>
      </c>
      <c r="C8" s="33" t="s">
        <v>149</v>
      </c>
    </row>
    <row r="9" customFormat="false" ht="60" hidden="false" customHeight="true" outlineLevel="0" collapsed="false">
      <c r="B9" s="32" t="s">
        <v>150</v>
      </c>
      <c r="C9" s="33" t="s">
        <v>151</v>
      </c>
    </row>
    <row r="10" customFormat="false" ht="60" hidden="false" customHeight="true" outlineLevel="0" collapsed="false">
      <c r="B10" s="32" t="s">
        <v>152</v>
      </c>
      <c r="C10" s="33" t="s">
        <v>153</v>
      </c>
    </row>
    <row r="11" customFormat="false" ht="60" hidden="false" customHeight="true" outlineLevel="0" collapsed="false">
      <c r="B11" s="32" t="s">
        <v>154</v>
      </c>
      <c r="C11" s="33" t="s">
        <v>155</v>
      </c>
    </row>
    <row r="12" customFormat="false" ht="18" hidden="false" customHeight="true" outlineLevel="0" collapsed="false">
      <c r="B12" s="34"/>
      <c r="C12" s="35" t="s">
        <v>156</v>
      </c>
    </row>
    <row r="13" customFormat="false" ht="18" hidden="false" customHeight="true" outlineLevel="0" collapsed="false">
      <c r="B13" s="34"/>
      <c r="C13" s="35"/>
    </row>
    <row r="14" customFormat="false" ht="31.5" hidden="false" customHeight="true" outlineLevel="0" collapsed="false">
      <c r="B14" s="34"/>
      <c r="C14" s="35" t="s">
        <v>157</v>
      </c>
    </row>
    <row r="15" customFormat="false" ht="18" hidden="false" customHeight="true" outlineLevel="0" collapsed="false">
      <c r="B15" s="34"/>
      <c r="C15" s="6" t="s">
        <v>158</v>
      </c>
    </row>
    <row r="16" customFormat="false" ht="18" hidden="false" customHeight="true" outlineLevel="0" collapsed="false">
      <c r="B16" s="34"/>
      <c r="C16" s="6" t="s">
        <v>159</v>
      </c>
    </row>
    <row r="18" customFormat="false" ht="21.75" hidden="false" customHeight="true" outlineLevel="0" collapsed="false">
      <c r="B18" s="4" t="s">
        <v>160</v>
      </c>
      <c r="C18" s="4"/>
    </row>
    <row r="19" customFormat="false" ht="45.75" hidden="false" customHeight="true" outlineLevel="0" collapsed="false">
      <c r="B19" s="34"/>
      <c r="C19" s="36" t="s">
        <v>161</v>
      </c>
    </row>
    <row r="20" customFormat="false" ht="18" hidden="false" customHeight="true" outlineLevel="0" collapsed="false">
      <c r="B20" s="37" t="s">
        <v>4</v>
      </c>
      <c r="C20" s="6" t="s">
        <v>162</v>
      </c>
    </row>
    <row r="21" customFormat="false" ht="31.5" hidden="false" customHeight="true" outlineLevel="0" collapsed="false">
      <c r="B21" s="37" t="s">
        <v>4</v>
      </c>
      <c r="C21" s="6" t="s">
        <v>163</v>
      </c>
    </row>
    <row r="22" customFormat="false" ht="18" hidden="false" customHeight="true" outlineLevel="0" collapsed="false">
      <c r="B22" s="34"/>
      <c r="C22" s="6" t="s">
        <v>159</v>
      </c>
    </row>
    <row r="24" customFormat="false" ht="21.75" hidden="false" customHeight="true" outlineLevel="0" collapsed="false">
      <c r="B24" s="4" t="s">
        <v>164</v>
      </c>
      <c r="C24" s="4"/>
    </row>
    <row r="25" customFormat="false" ht="18" hidden="false" customHeight="true" outlineLevel="0" collapsed="false">
      <c r="B25" s="34"/>
      <c r="C25" s="6" t="s">
        <v>165</v>
      </c>
    </row>
    <row r="26" customFormat="false" ht="31.5" hidden="false" customHeight="true" outlineLevel="0" collapsed="false">
      <c r="B26" s="37" t="s">
        <v>4</v>
      </c>
      <c r="C26" s="6" t="s">
        <v>166</v>
      </c>
    </row>
    <row r="27" customFormat="false" ht="18" hidden="false" customHeight="true" outlineLevel="0" collapsed="false">
      <c r="B27" s="37" t="s">
        <v>4</v>
      </c>
      <c r="C27" s="6" t="s">
        <v>167</v>
      </c>
    </row>
    <row r="28" customFormat="false" ht="18" hidden="false" customHeight="true" outlineLevel="0" collapsed="false">
      <c r="B28" s="37" t="s">
        <v>4</v>
      </c>
      <c r="C28" s="6" t="s">
        <v>168</v>
      </c>
    </row>
    <row r="29" customFormat="false" ht="18" hidden="false" customHeight="true" outlineLevel="0" collapsed="false">
      <c r="B29" s="37" t="s">
        <v>4</v>
      </c>
      <c r="C29" s="6" t="s">
        <v>169</v>
      </c>
    </row>
    <row r="30" customFormat="false" ht="18" hidden="false" customHeight="true" outlineLevel="0" collapsed="false">
      <c r="B30" s="34"/>
      <c r="C30" s="6" t="s">
        <v>170</v>
      </c>
    </row>
    <row r="31" customFormat="false" ht="31.5" hidden="false" customHeight="true" outlineLevel="0" collapsed="false">
      <c r="B31" s="37" t="s">
        <v>4</v>
      </c>
      <c r="C31" s="6" t="s">
        <v>171</v>
      </c>
    </row>
    <row r="32" customFormat="false" ht="18" hidden="false" customHeight="true" outlineLevel="0" collapsed="false">
      <c r="B32" s="37" t="s">
        <v>4</v>
      </c>
      <c r="C32" s="6" t="s">
        <v>172</v>
      </c>
    </row>
    <row r="33" customFormat="false" ht="18" hidden="false" customHeight="true" outlineLevel="0" collapsed="false">
      <c r="B33" s="37" t="s">
        <v>4</v>
      </c>
      <c r="C33" s="6" t="s">
        <v>173</v>
      </c>
    </row>
    <row r="34" customFormat="false" ht="18" hidden="false" customHeight="true" outlineLevel="0" collapsed="false">
      <c r="B34" s="37" t="s">
        <v>4</v>
      </c>
      <c r="C34" s="6" t="s">
        <v>174</v>
      </c>
    </row>
    <row r="35" customFormat="false" ht="18" hidden="false" customHeight="true" outlineLevel="0" collapsed="false">
      <c r="B35" s="34"/>
      <c r="C35" s="6" t="s">
        <v>175</v>
      </c>
    </row>
    <row r="36" customFormat="false" ht="18" hidden="false" customHeight="true" outlineLevel="0" collapsed="false">
      <c r="B36" s="34"/>
      <c r="C36" s="6" t="s">
        <v>159</v>
      </c>
    </row>
    <row r="38" customFormat="false" ht="21.75" hidden="false" customHeight="true" outlineLevel="0" collapsed="false">
      <c r="B38" s="4" t="s">
        <v>176</v>
      </c>
      <c r="C38" s="4"/>
    </row>
    <row r="39" customFormat="false" ht="18" hidden="false" customHeight="true" outlineLevel="0" collapsed="false">
      <c r="B39" s="37" t="s">
        <v>177</v>
      </c>
      <c r="C39" s="6" t="s">
        <v>178</v>
      </c>
    </row>
    <row r="40" customFormat="false" ht="31.5" hidden="false" customHeight="true" outlineLevel="0" collapsed="false">
      <c r="B40" s="37" t="s">
        <v>179</v>
      </c>
      <c r="C40" s="6" t="s">
        <v>180</v>
      </c>
    </row>
    <row r="41" customFormat="false" ht="18" hidden="false" customHeight="true" outlineLevel="0" collapsed="false">
      <c r="B41" s="37" t="s">
        <v>181</v>
      </c>
      <c r="C41" s="6" t="s">
        <v>182</v>
      </c>
    </row>
    <row r="42" customFormat="false" ht="31.5" hidden="false" customHeight="true" outlineLevel="0" collapsed="false">
      <c r="B42" s="37" t="s">
        <v>183</v>
      </c>
      <c r="C42" s="6" t="s">
        <v>184</v>
      </c>
    </row>
    <row r="43" customFormat="false" ht="18" hidden="false" customHeight="true" outlineLevel="0" collapsed="false">
      <c r="B43" s="37" t="s">
        <v>185</v>
      </c>
      <c r="C43" s="6" t="s">
        <v>186</v>
      </c>
    </row>
    <row r="44" customFormat="false" ht="18" hidden="false" customHeight="true" outlineLevel="0" collapsed="false">
      <c r="B44" s="34"/>
      <c r="C44" s="6" t="s">
        <v>159</v>
      </c>
    </row>
    <row r="46" customFormat="false" ht="21.75" hidden="false" customHeight="true" outlineLevel="0" collapsed="false">
      <c r="B46" s="4" t="s">
        <v>187</v>
      </c>
      <c r="C46" s="4"/>
    </row>
    <row r="47" customFormat="false" ht="31.5" hidden="false" customHeight="true" outlineLevel="0" collapsed="false">
      <c r="B47" s="34"/>
      <c r="C47" s="6" t="s">
        <v>188</v>
      </c>
    </row>
    <row r="48" customFormat="false" ht="18" hidden="false" customHeight="true" outlineLevel="0" collapsed="false">
      <c r="B48" s="31" t="s">
        <v>189</v>
      </c>
      <c r="C48" s="31" t="s">
        <v>190</v>
      </c>
    </row>
    <row r="49" customFormat="false" ht="18" hidden="false" customHeight="true" outlineLevel="0" collapsed="false">
      <c r="B49" s="32" t="s">
        <v>191</v>
      </c>
      <c r="C49" s="33" t="s">
        <v>192</v>
      </c>
    </row>
    <row r="50" customFormat="false" ht="31.5" hidden="false" customHeight="true" outlineLevel="0" collapsed="false">
      <c r="B50" s="32" t="s">
        <v>193</v>
      </c>
      <c r="C50" s="33" t="s">
        <v>194</v>
      </c>
    </row>
    <row r="51" customFormat="false" ht="45.75" hidden="false" customHeight="true" outlineLevel="0" collapsed="false">
      <c r="B51" s="32"/>
      <c r="C51" s="33" t="s">
        <v>195</v>
      </c>
    </row>
    <row r="52" customFormat="false" ht="31.5" hidden="false" customHeight="true" outlineLevel="0" collapsed="false">
      <c r="B52" s="32" t="s">
        <v>196</v>
      </c>
      <c r="C52" s="33" t="s">
        <v>197</v>
      </c>
    </row>
    <row r="53" customFormat="false" ht="31.5" hidden="false" customHeight="true" outlineLevel="0" collapsed="false">
      <c r="B53" s="32" t="s">
        <v>198</v>
      </c>
      <c r="C53" s="33" t="s">
        <v>199</v>
      </c>
    </row>
    <row r="54" customFormat="false" ht="18" hidden="false" customHeight="true" outlineLevel="0" collapsed="false">
      <c r="B54" s="34"/>
      <c r="C54" s="6" t="s">
        <v>159</v>
      </c>
    </row>
    <row r="56" customFormat="false" ht="21.75" hidden="false" customHeight="true" outlineLevel="0" collapsed="false">
      <c r="B56" s="4" t="s">
        <v>200</v>
      </c>
      <c r="C56" s="4"/>
    </row>
    <row r="57" customFormat="false" ht="31.5" hidden="false" customHeight="true" outlineLevel="0" collapsed="false">
      <c r="B57" s="37" t="s">
        <v>4</v>
      </c>
      <c r="C57" s="6" t="s">
        <v>201</v>
      </c>
    </row>
    <row r="58" customFormat="false" ht="18" hidden="false" customHeight="true" outlineLevel="0" collapsed="false">
      <c r="B58" s="37" t="s">
        <v>4</v>
      </c>
      <c r="C58" s="6" t="s">
        <v>202</v>
      </c>
    </row>
    <row r="59" customFormat="false" ht="31.5" hidden="false" customHeight="true" outlineLevel="0" collapsed="false">
      <c r="B59" s="37" t="s">
        <v>4</v>
      </c>
      <c r="C59" s="6" t="s">
        <v>203</v>
      </c>
    </row>
    <row r="60" customFormat="false" ht="31.5" hidden="false" customHeight="true" outlineLevel="0" collapsed="false">
      <c r="B60" s="37" t="s">
        <v>4</v>
      </c>
      <c r="C60" s="6" t="s">
        <v>204</v>
      </c>
    </row>
    <row r="62" customFormat="false" ht="21.75" hidden="false" customHeight="true" outlineLevel="0" collapsed="false">
      <c r="B62" s="4" t="s">
        <v>205</v>
      </c>
      <c r="C62" s="4"/>
    </row>
    <row r="63" customFormat="false" ht="18" hidden="false" customHeight="true" outlineLevel="0" collapsed="false">
      <c r="B63" s="34"/>
      <c r="C63" s="6" t="s">
        <v>206</v>
      </c>
    </row>
    <row r="64" customFormat="false" ht="60" hidden="false" customHeight="true" outlineLevel="0" collapsed="false">
      <c r="B64" s="34"/>
      <c r="C64" s="36" t="s">
        <v>207</v>
      </c>
    </row>
    <row r="65" customFormat="false" ht="18" hidden="false" customHeight="true" outlineLevel="0" collapsed="false">
      <c r="B65" s="34"/>
      <c r="C65" s="6" t="s">
        <v>208</v>
      </c>
    </row>
    <row r="66" customFormat="false" ht="31.5" hidden="false" customHeight="true" outlineLevel="0" collapsed="false">
      <c r="B66" s="37" t="s">
        <v>4</v>
      </c>
      <c r="C66" s="6" t="s">
        <v>209</v>
      </c>
    </row>
    <row r="67" customFormat="false" ht="31.5" hidden="false" customHeight="true" outlineLevel="0" collapsed="false">
      <c r="B67" s="37" t="s">
        <v>4</v>
      </c>
      <c r="C67" s="6" t="s">
        <v>210</v>
      </c>
    </row>
    <row r="68" customFormat="false" ht="18" hidden="false" customHeight="true" outlineLevel="0" collapsed="false">
      <c r="B68" s="37" t="s">
        <v>4</v>
      </c>
      <c r="C68" s="6" t="s">
        <v>211</v>
      </c>
    </row>
    <row r="69" customFormat="false" ht="18" hidden="false" customHeight="true" outlineLevel="0" collapsed="false">
      <c r="B69" s="34"/>
      <c r="C69" s="6" t="s">
        <v>212</v>
      </c>
    </row>
    <row r="70" customFormat="false" ht="18" hidden="false" customHeight="true" outlineLevel="0" collapsed="false">
      <c r="B70" s="37" t="s">
        <v>4</v>
      </c>
      <c r="C70" s="6" t="s">
        <v>213</v>
      </c>
    </row>
    <row r="71" customFormat="false" ht="18" hidden="false" customHeight="true" outlineLevel="0" collapsed="false">
      <c r="B71" s="37" t="s">
        <v>4</v>
      </c>
      <c r="C71" s="6" t="s">
        <v>214</v>
      </c>
    </row>
    <row r="72" customFormat="false" ht="18" hidden="false" customHeight="true" outlineLevel="0" collapsed="false">
      <c r="B72" s="34"/>
      <c r="C72" s="6" t="s">
        <v>159</v>
      </c>
    </row>
    <row r="74" customFormat="false" ht="21.75" hidden="false" customHeight="true" outlineLevel="0" collapsed="false">
      <c r="B74" s="4" t="s">
        <v>215</v>
      </c>
      <c r="C74" s="4"/>
    </row>
    <row r="75" customFormat="false" ht="18" hidden="false" customHeight="true" outlineLevel="0" collapsed="false">
      <c r="B75" s="34"/>
      <c r="C75" s="6" t="s">
        <v>216</v>
      </c>
    </row>
    <row r="76" customFormat="false" ht="18" hidden="false" customHeight="true" outlineLevel="0" collapsed="false">
      <c r="B76" s="37" t="s">
        <v>177</v>
      </c>
      <c r="C76" s="6" t="s">
        <v>217</v>
      </c>
    </row>
    <row r="77" customFormat="false" ht="18" hidden="false" customHeight="true" outlineLevel="0" collapsed="false">
      <c r="B77" s="37" t="s">
        <v>179</v>
      </c>
      <c r="C77" s="6" t="s">
        <v>218</v>
      </c>
    </row>
    <row r="78" customFormat="false" ht="18" hidden="false" customHeight="true" outlineLevel="0" collapsed="false">
      <c r="B78" s="37" t="s">
        <v>181</v>
      </c>
      <c r="C78" s="6" t="s">
        <v>219</v>
      </c>
    </row>
    <row r="79" customFormat="false" ht="18" hidden="false" customHeight="true" outlineLevel="0" collapsed="false">
      <c r="B79" s="37" t="s">
        <v>183</v>
      </c>
      <c r="C79" s="6" t="s">
        <v>220</v>
      </c>
    </row>
    <row r="80" customFormat="false" ht="18" hidden="false" customHeight="true" outlineLevel="0" collapsed="false">
      <c r="B80" s="37" t="s">
        <v>185</v>
      </c>
      <c r="C80" s="6" t="s">
        <v>221</v>
      </c>
    </row>
    <row r="81" customFormat="false" ht="18" hidden="false" customHeight="true" outlineLevel="0" collapsed="false">
      <c r="B81" s="34"/>
      <c r="C81" s="6" t="s">
        <v>159</v>
      </c>
    </row>
  </sheetData>
  <mergeCells count="8">
    <mergeCell ref="B6:C6"/>
    <mergeCell ref="B18:C18"/>
    <mergeCell ref="B24:C24"/>
    <mergeCell ref="B38:C38"/>
    <mergeCell ref="B46:C46"/>
    <mergeCell ref="B56:C56"/>
    <mergeCell ref="B62:C62"/>
    <mergeCell ref="B74:C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B1:C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00"/>
    <col collapsed="false" customWidth="true" hidden="false" outlineLevel="0" max="4" min="4" style="0" width="3"/>
  </cols>
  <sheetData>
    <row r="1" customFormat="false" ht="13.5" hidden="false" customHeight="true" outlineLevel="0" collapsed="false">
      <c r="B1" s="38" t="s">
        <v>222</v>
      </c>
    </row>
    <row r="2" customFormat="false" ht="30" hidden="false" customHeight="true" outlineLevel="0" collapsed="false">
      <c r="B2" s="1" t="s">
        <v>223</v>
      </c>
    </row>
    <row r="3" customFormat="false" ht="15" hidden="false" customHeight="false" outlineLevel="0" collapsed="false">
      <c r="B3" s="2" t="s">
        <v>224</v>
      </c>
    </row>
    <row r="4" customFormat="false" ht="6" hidden="false" customHeight="true" outlineLevel="0" collapsed="false">
      <c r="B4" s="3"/>
      <c r="C4" s="3"/>
    </row>
    <row r="7" customFormat="false" ht="21.75" hidden="false" customHeight="true" outlineLevel="0" collapsed="false">
      <c r="B7" s="4" t="s">
        <v>225</v>
      </c>
      <c r="C7" s="4"/>
    </row>
    <row r="8" customFormat="false" ht="18" hidden="false" customHeight="true" outlineLevel="0" collapsed="false">
      <c r="B8" s="37" t="s">
        <v>177</v>
      </c>
      <c r="C8" s="6" t="s">
        <v>226</v>
      </c>
    </row>
    <row r="9" customFormat="false" ht="18" hidden="false" customHeight="true" outlineLevel="0" collapsed="false">
      <c r="B9" s="37" t="s">
        <v>179</v>
      </c>
      <c r="C9" s="6" t="s">
        <v>227</v>
      </c>
    </row>
    <row r="10" customFormat="false" ht="18" hidden="false" customHeight="true" outlineLevel="0" collapsed="false">
      <c r="B10" s="37" t="s">
        <v>181</v>
      </c>
      <c r="C10" s="6" t="s">
        <v>228</v>
      </c>
    </row>
    <row r="12" customFormat="false" ht="21.75" hidden="false" customHeight="true" outlineLevel="0" collapsed="false">
      <c r="B12" s="4" t="s">
        <v>229</v>
      </c>
      <c r="C12" s="4"/>
    </row>
    <row r="13" customFormat="false" ht="18" hidden="false" customHeight="true" outlineLevel="0" collapsed="false">
      <c r="B13" s="31" t="s">
        <v>230</v>
      </c>
      <c r="C13" s="31" t="s">
        <v>231</v>
      </c>
    </row>
    <row r="14" customFormat="false" ht="18" hidden="false" customHeight="true" outlineLevel="0" collapsed="false">
      <c r="B14" s="32" t="s">
        <v>232</v>
      </c>
      <c r="C14" s="33" t="s">
        <v>233</v>
      </c>
    </row>
    <row r="15" customFormat="false" ht="18" hidden="false" customHeight="true" outlineLevel="0" collapsed="false">
      <c r="B15" s="32" t="s">
        <v>234</v>
      </c>
      <c r="C15" s="33" t="s">
        <v>235</v>
      </c>
    </row>
    <row r="16" customFormat="false" ht="18" hidden="false" customHeight="true" outlineLevel="0" collapsed="false">
      <c r="B16" s="32" t="s">
        <v>236</v>
      </c>
      <c r="C16" s="33" t="s">
        <v>237</v>
      </c>
    </row>
    <row r="18" customFormat="false" ht="21.75" hidden="false" customHeight="true" outlineLevel="0" collapsed="false">
      <c r="B18" s="4" t="s">
        <v>238</v>
      </c>
      <c r="C18" s="4"/>
    </row>
    <row r="19" customFormat="false" ht="45.75" hidden="false" customHeight="true" outlineLevel="0" collapsed="false">
      <c r="B19" s="34"/>
      <c r="C19" s="6" t="s">
        <v>239</v>
      </c>
    </row>
    <row r="21" customFormat="false" ht="21.75" hidden="false" customHeight="true" outlineLevel="0" collapsed="false">
      <c r="B21" s="4" t="s">
        <v>240</v>
      </c>
      <c r="C21" s="4"/>
    </row>
    <row r="22" customFormat="false" ht="18" hidden="false" customHeight="true" outlineLevel="0" collapsed="false">
      <c r="B22" s="34"/>
      <c r="C22" s="6" t="s">
        <v>241</v>
      </c>
    </row>
    <row r="23" customFormat="false" ht="18" hidden="false" customHeight="true" outlineLevel="0" collapsed="false">
      <c r="B23" s="31" t="s">
        <v>242</v>
      </c>
      <c r="C23" s="31" t="s">
        <v>243</v>
      </c>
    </row>
    <row r="24" customFormat="false" ht="31.5" hidden="false" customHeight="true" outlineLevel="0" collapsed="false">
      <c r="B24" s="32" t="s">
        <v>244</v>
      </c>
      <c r="C24" s="33" t="s">
        <v>245</v>
      </c>
    </row>
    <row r="25" customFormat="false" ht="31.5" hidden="false" customHeight="true" outlineLevel="0" collapsed="false">
      <c r="B25" s="32" t="s">
        <v>246</v>
      </c>
      <c r="C25" s="33" t="s">
        <v>247</v>
      </c>
    </row>
    <row r="26" customFormat="false" ht="18" hidden="false" customHeight="true" outlineLevel="0" collapsed="false">
      <c r="B26" s="37" t="s">
        <v>4</v>
      </c>
      <c r="C26" s="6" t="s">
        <v>248</v>
      </c>
    </row>
    <row r="27" customFormat="false" ht="31.5" hidden="false" customHeight="true" outlineLevel="0" collapsed="false">
      <c r="B27" s="37" t="s">
        <v>4</v>
      </c>
      <c r="C27" s="6" t="s">
        <v>249</v>
      </c>
    </row>
    <row r="29" customFormat="false" ht="21.75" hidden="false" customHeight="true" outlineLevel="0" collapsed="false">
      <c r="B29" s="4" t="s">
        <v>250</v>
      </c>
      <c r="C29" s="4"/>
    </row>
    <row r="30" customFormat="false" ht="18" hidden="false" customHeight="true" outlineLevel="0" collapsed="false">
      <c r="B30" s="31" t="s">
        <v>251</v>
      </c>
      <c r="C30" s="31" t="s">
        <v>252</v>
      </c>
    </row>
    <row r="31" customFormat="false" ht="18" hidden="false" customHeight="true" outlineLevel="0" collapsed="false">
      <c r="B31" s="32" t="s">
        <v>253</v>
      </c>
      <c r="C31" s="33" t="s">
        <v>254</v>
      </c>
    </row>
    <row r="32" customFormat="false" ht="18" hidden="false" customHeight="true" outlineLevel="0" collapsed="false">
      <c r="B32" s="32" t="s">
        <v>255</v>
      </c>
      <c r="C32" s="33" t="s">
        <v>256</v>
      </c>
    </row>
    <row r="33" customFormat="false" ht="31.5" hidden="false" customHeight="true" outlineLevel="0" collapsed="false">
      <c r="B33" s="32" t="s">
        <v>257</v>
      </c>
      <c r="C33" s="33" t="s">
        <v>258</v>
      </c>
    </row>
    <row r="34" customFormat="false" ht="18" hidden="false" customHeight="true" outlineLevel="0" collapsed="false">
      <c r="B34" s="32" t="s">
        <v>259</v>
      </c>
      <c r="C34" s="33" t="s">
        <v>260</v>
      </c>
    </row>
    <row r="35" customFormat="false" ht="18" hidden="false" customHeight="true" outlineLevel="0" collapsed="false">
      <c r="B35" s="32" t="s">
        <v>261</v>
      </c>
      <c r="C35" s="33" t="s">
        <v>262</v>
      </c>
    </row>
    <row r="37" customFormat="false" ht="21.75" hidden="false" customHeight="true" outlineLevel="0" collapsed="false">
      <c r="B37" s="4" t="s">
        <v>263</v>
      </c>
      <c r="C37" s="4"/>
    </row>
    <row r="38" customFormat="false" ht="18" hidden="false" customHeight="true" outlineLevel="0" collapsed="false">
      <c r="B38" s="31" t="s">
        <v>264</v>
      </c>
      <c r="C38" s="31" t="s">
        <v>265</v>
      </c>
    </row>
    <row r="39" customFormat="false" ht="31.5" hidden="false" customHeight="true" outlineLevel="0" collapsed="false">
      <c r="B39" s="32" t="s">
        <v>266</v>
      </c>
      <c r="C39" s="33" t="s">
        <v>267</v>
      </c>
    </row>
    <row r="40" customFormat="false" ht="18" hidden="false" customHeight="true" outlineLevel="0" collapsed="false">
      <c r="B40" s="32" t="s">
        <v>268</v>
      </c>
      <c r="C40" s="33" t="s">
        <v>269</v>
      </c>
    </row>
    <row r="42" customFormat="false" ht="21.75" hidden="false" customHeight="true" outlineLevel="0" collapsed="false">
      <c r="B42" s="4" t="s">
        <v>270</v>
      </c>
      <c r="C42" s="4"/>
    </row>
    <row r="43" customFormat="false" ht="73.5" hidden="false" customHeight="true" outlineLevel="0" collapsed="false">
      <c r="B43" s="34" t="s">
        <v>271</v>
      </c>
      <c r="C43" s="36" t="s">
        <v>272</v>
      </c>
    </row>
    <row r="44" customFormat="false" ht="60" hidden="false" customHeight="true" outlineLevel="0" collapsed="false">
      <c r="B44" s="34" t="s">
        <v>273</v>
      </c>
      <c r="C44" s="36" t="s">
        <v>274</v>
      </c>
    </row>
    <row r="45" customFormat="false" ht="60" hidden="false" customHeight="true" outlineLevel="0" collapsed="false">
      <c r="B45" s="34" t="s">
        <v>275</v>
      </c>
      <c r="C45" s="36" t="s">
        <v>276</v>
      </c>
    </row>
    <row r="46" customFormat="false" ht="45.75" hidden="false" customHeight="true" outlineLevel="0" collapsed="false">
      <c r="B46" s="34" t="s">
        <v>277</v>
      </c>
      <c r="C46" s="36" t="s">
        <v>278</v>
      </c>
    </row>
    <row r="47" customFormat="false" ht="73.5" hidden="false" customHeight="true" outlineLevel="0" collapsed="false">
      <c r="B47" s="34" t="s">
        <v>279</v>
      </c>
      <c r="C47" s="36" t="s">
        <v>280</v>
      </c>
    </row>
    <row r="48" customFormat="false" ht="18" hidden="false" customHeight="true" outlineLevel="0" collapsed="false">
      <c r="B48" s="34"/>
      <c r="C48" s="6" t="s">
        <v>281</v>
      </c>
    </row>
    <row r="49" customFormat="false" ht="60" hidden="false" customHeight="true" outlineLevel="0" collapsed="false">
      <c r="B49" s="34" t="s">
        <v>282</v>
      </c>
      <c r="C49" s="36" t="s">
        <v>283</v>
      </c>
    </row>
    <row r="51" customFormat="false" ht="21.75" hidden="false" customHeight="true" outlineLevel="0" collapsed="false">
      <c r="B51" s="4" t="s">
        <v>284</v>
      </c>
      <c r="C51" s="4"/>
    </row>
    <row r="52" customFormat="false" ht="18" hidden="false" customHeight="true" outlineLevel="0" collapsed="false">
      <c r="B52" s="37" t="s">
        <v>177</v>
      </c>
      <c r="C52" s="6" t="s">
        <v>285</v>
      </c>
    </row>
    <row r="53" customFormat="false" ht="18" hidden="false" customHeight="true" outlineLevel="0" collapsed="false">
      <c r="B53" s="37" t="s">
        <v>179</v>
      </c>
      <c r="C53" s="6" t="s">
        <v>286</v>
      </c>
    </row>
    <row r="54" customFormat="false" ht="18" hidden="false" customHeight="true" outlineLevel="0" collapsed="false">
      <c r="B54" s="37" t="s">
        <v>181</v>
      </c>
      <c r="C54" s="6" t="s">
        <v>287</v>
      </c>
    </row>
    <row r="55" customFormat="false" ht="18" hidden="false" customHeight="true" outlineLevel="0" collapsed="false">
      <c r="B55" s="37" t="s">
        <v>183</v>
      </c>
      <c r="C55" s="6" t="s">
        <v>288</v>
      </c>
    </row>
    <row r="57" customFormat="false" ht="21.75" hidden="false" customHeight="true" outlineLevel="0" collapsed="false">
      <c r="B57" s="4" t="s">
        <v>289</v>
      </c>
      <c r="C57" s="4"/>
    </row>
    <row r="58" customFormat="false" ht="18" hidden="false" customHeight="true" outlineLevel="0" collapsed="false">
      <c r="B58" s="37" t="s">
        <v>290</v>
      </c>
      <c r="C58" s="6" t="s">
        <v>291</v>
      </c>
    </row>
    <row r="59" customFormat="false" ht="18" hidden="false" customHeight="true" outlineLevel="0" collapsed="false">
      <c r="B59" s="37" t="s">
        <v>290</v>
      </c>
      <c r="C59" s="6" t="s">
        <v>292</v>
      </c>
    </row>
    <row r="60" customFormat="false" ht="18" hidden="false" customHeight="true" outlineLevel="0" collapsed="false">
      <c r="B60" s="37" t="s">
        <v>290</v>
      </c>
      <c r="C60" s="6" t="s">
        <v>293</v>
      </c>
    </row>
    <row r="61" customFormat="false" ht="18" hidden="false" customHeight="true" outlineLevel="0" collapsed="false">
      <c r="B61" s="37" t="s">
        <v>290</v>
      </c>
      <c r="C61" s="6" t="s">
        <v>294</v>
      </c>
    </row>
    <row r="63" customFormat="false" ht="15" hidden="false" customHeight="false" outlineLevel="0" collapsed="false">
      <c r="B63" s="30" t="s">
        <v>295</v>
      </c>
      <c r="C63" s="30" t="s">
        <v>296</v>
      </c>
    </row>
  </sheetData>
  <mergeCells count="9">
    <mergeCell ref="B7:C7"/>
    <mergeCell ref="B12:C12"/>
    <mergeCell ref="B18:C18"/>
    <mergeCell ref="B21:C21"/>
    <mergeCell ref="B29:C29"/>
    <mergeCell ref="B37:C37"/>
    <mergeCell ref="B42:C42"/>
    <mergeCell ref="B51:C51"/>
    <mergeCell ref="B57:C57"/>
  </mergeCells>
  <hyperlinks>
    <hyperlink ref="B1" r:id="rId1" location="'Jadwal'!A1" display="◀ kembali ke Jadwal"/>
    <hyperlink ref="C63" r:id="rId2" location="'Kuis &amp; Kunci'!A1" display="lihat sheet &quot;Kuis &amp; Kunci&quot; dan file 02_STUDY_CASE/Day01_Report_PO_Sederhana.m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B1:C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00"/>
    <col collapsed="false" customWidth="true" hidden="false" outlineLevel="0" max="4" min="4" style="0" width="3"/>
  </cols>
  <sheetData>
    <row r="1" customFormat="false" ht="13.5" hidden="false" customHeight="true" outlineLevel="0" collapsed="false">
      <c r="B1" s="38" t="s">
        <v>222</v>
      </c>
    </row>
    <row r="2" customFormat="false" ht="30" hidden="false" customHeight="true" outlineLevel="0" collapsed="false">
      <c r="B2" s="1" t="s">
        <v>297</v>
      </c>
    </row>
    <row r="3" customFormat="false" ht="15" hidden="false" customHeight="false" outlineLevel="0" collapsed="false">
      <c r="B3" s="2" t="s">
        <v>298</v>
      </c>
    </row>
    <row r="4" customFormat="false" ht="6" hidden="false" customHeight="true" outlineLevel="0" collapsed="false">
      <c r="B4" s="3"/>
      <c r="C4" s="3"/>
    </row>
    <row r="7" customFormat="false" ht="21.75" hidden="false" customHeight="true" outlineLevel="0" collapsed="false">
      <c r="B7" s="4" t="s">
        <v>225</v>
      </c>
      <c r="C7" s="4"/>
    </row>
    <row r="8" customFormat="false" ht="18" hidden="false" customHeight="true" outlineLevel="0" collapsed="false">
      <c r="B8" s="37" t="s">
        <v>177</v>
      </c>
      <c r="C8" s="6" t="s">
        <v>299</v>
      </c>
    </row>
    <row r="9" customFormat="false" ht="18" hidden="false" customHeight="true" outlineLevel="0" collapsed="false">
      <c r="B9" s="37" t="s">
        <v>179</v>
      </c>
      <c r="C9" s="6" t="s">
        <v>300</v>
      </c>
    </row>
    <row r="10" customFormat="false" ht="18" hidden="false" customHeight="true" outlineLevel="0" collapsed="false">
      <c r="B10" s="37" t="s">
        <v>181</v>
      </c>
      <c r="C10" s="6" t="s">
        <v>301</v>
      </c>
    </row>
    <row r="12" customFormat="false" ht="21.75" hidden="false" customHeight="true" outlineLevel="0" collapsed="false">
      <c r="B12" s="4" t="s">
        <v>229</v>
      </c>
      <c r="C12" s="4"/>
    </row>
    <row r="13" customFormat="false" ht="18" hidden="false" customHeight="true" outlineLevel="0" collapsed="false">
      <c r="B13" s="31" t="s">
        <v>230</v>
      </c>
      <c r="C13" s="31" t="s">
        <v>231</v>
      </c>
    </row>
    <row r="14" customFormat="false" ht="31.5" hidden="false" customHeight="true" outlineLevel="0" collapsed="false">
      <c r="B14" s="32" t="s">
        <v>232</v>
      </c>
      <c r="C14" s="33" t="s">
        <v>302</v>
      </c>
    </row>
    <row r="15" customFormat="false" ht="18" hidden="false" customHeight="true" outlineLevel="0" collapsed="false">
      <c r="B15" s="32" t="s">
        <v>234</v>
      </c>
      <c r="C15" s="33" t="s">
        <v>303</v>
      </c>
    </row>
    <row r="16" customFormat="false" ht="18" hidden="false" customHeight="true" outlineLevel="0" collapsed="false">
      <c r="B16" s="32" t="s">
        <v>236</v>
      </c>
      <c r="C16" s="33" t="s">
        <v>304</v>
      </c>
    </row>
    <row r="18" customFormat="false" ht="21.75" hidden="false" customHeight="true" outlineLevel="0" collapsed="false">
      <c r="B18" s="4" t="s">
        <v>238</v>
      </c>
      <c r="C18" s="4"/>
    </row>
    <row r="19" customFormat="false" ht="45.75" hidden="false" customHeight="true" outlineLevel="0" collapsed="false">
      <c r="B19" s="34"/>
      <c r="C19" s="6" t="s">
        <v>305</v>
      </c>
    </row>
    <row r="21" customFormat="false" ht="21.75" hidden="false" customHeight="true" outlineLevel="0" collapsed="false">
      <c r="B21" s="4" t="s">
        <v>240</v>
      </c>
      <c r="C21" s="4"/>
    </row>
    <row r="22" customFormat="false" ht="18" hidden="false" customHeight="true" outlineLevel="0" collapsed="false">
      <c r="B22" s="31" t="s">
        <v>242</v>
      </c>
      <c r="C22" s="31" t="s">
        <v>243</v>
      </c>
    </row>
    <row r="23" customFormat="false" ht="31.5" hidden="false" customHeight="true" outlineLevel="0" collapsed="false">
      <c r="B23" s="32" t="s">
        <v>244</v>
      </c>
      <c r="C23" s="33" t="s">
        <v>306</v>
      </c>
    </row>
    <row r="24" customFormat="false" ht="31.5" hidden="false" customHeight="true" outlineLevel="0" collapsed="false">
      <c r="B24" s="32" t="s">
        <v>246</v>
      </c>
      <c r="C24" s="33" t="s">
        <v>307</v>
      </c>
    </row>
    <row r="25" customFormat="false" ht="31.5" hidden="false" customHeight="true" outlineLevel="0" collapsed="false">
      <c r="B25" s="32" t="s">
        <v>308</v>
      </c>
      <c r="C25" s="33" t="s">
        <v>309</v>
      </c>
    </row>
    <row r="26" customFormat="false" ht="31.5" hidden="false" customHeight="true" outlineLevel="0" collapsed="false">
      <c r="B26" s="32" t="s">
        <v>310</v>
      </c>
      <c r="C26" s="33" t="s">
        <v>311</v>
      </c>
    </row>
    <row r="27" customFormat="false" ht="31.5" hidden="false" customHeight="true" outlineLevel="0" collapsed="false">
      <c r="B27" s="32" t="s">
        <v>312</v>
      </c>
      <c r="C27" s="33" t="s">
        <v>313</v>
      </c>
    </row>
    <row r="28" customFormat="false" ht="31.5" hidden="false" customHeight="true" outlineLevel="0" collapsed="false">
      <c r="B28" s="37" t="s">
        <v>4</v>
      </c>
      <c r="C28" s="6" t="s">
        <v>314</v>
      </c>
    </row>
    <row r="29" customFormat="false" ht="18" hidden="false" customHeight="true" outlineLevel="0" collapsed="false">
      <c r="B29" s="37" t="s">
        <v>4</v>
      </c>
      <c r="C29" s="6" t="s">
        <v>315</v>
      </c>
    </row>
    <row r="30" customFormat="false" ht="18" hidden="false" customHeight="true" outlineLevel="0" collapsed="false">
      <c r="B30" s="37" t="s">
        <v>4</v>
      </c>
      <c r="C30" s="6" t="s">
        <v>316</v>
      </c>
    </row>
    <row r="31" customFormat="false" ht="31.5" hidden="false" customHeight="true" outlineLevel="0" collapsed="false">
      <c r="B31" s="37" t="s">
        <v>4</v>
      </c>
      <c r="C31" s="6" t="s">
        <v>317</v>
      </c>
    </row>
    <row r="32" customFormat="false" ht="31.5" hidden="false" customHeight="true" outlineLevel="0" collapsed="false">
      <c r="B32" s="37" t="s">
        <v>4</v>
      </c>
      <c r="C32" s="6" t="s">
        <v>318</v>
      </c>
    </row>
    <row r="33" customFormat="false" ht="31.5" hidden="false" customHeight="true" outlineLevel="0" collapsed="false">
      <c r="B33" s="37" t="s">
        <v>4</v>
      </c>
      <c r="C33" s="6" t="s">
        <v>319</v>
      </c>
    </row>
    <row r="35" customFormat="false" ht="21.75" hidden="false" customHeight="true" outlineLevel="0" collapsed="false">
      <c r="B35" s="4" t="s">
        <v>250</v>
      </c>
      <c r="C35" s="4"/>
    </row>
    <row r="36" customFormat="false" ht="18" hidden="false" customHeight="true" outlineLevel="0" collapsed="false">
      <c r="B36" s="31" t="s">
        <v>251</v>
      </c>
      <c r="C36" s="31" t="s">
        <v>252</v>
      </c>
    </row>
    <row r="37" customFormat="false" ht="18" hidden="false" customHeight="true" outlineLevel="0" collapsed="false">
      <c r="B37" s="32" t="s">
        <v>253</v>
      </c>
      <c r="C37" s="33" t="s">
        <v>320</v>
      </c>
    </row>
    <row r="38" customFormat="false" ht="18" hidden="false" customHeight="true" outlineLevel="0" collapsed="false">
      <c r="B38" s="32" t="s">
        <v>321</v>
      </c>
      <c r="C38" s="33" t="s">
        <v>322</v>
      </c>
    </row>
    <row r="39" customFormat="false" ht="18" hidden="false" customHeight="true" outlineLevel="0" collapsed="false">
      <c r="B39" s="32" t="s">
        <v>323</v>
      </c>
      <c r="C39" s="33" t="s">
        <v>324</v>
      </c>
    </row>
    <row r="40" customFormat="false" ht="31.5" hidden="false" customHeight="true" outlineLevel="0" collapsed="false">
      <c r="B40" s="32" t="s">
        <v>325</v>
      </c>
      <c r="C40" s="33" t="s">
        <v>326</v>
      </c>
    </row>
    <row r="41" customFormat="false" ht="31.5" hidden="false" customHeight="true" outlineLevel="0" collapsed="false">
      <c r="B41" s="32" t="s">
        <v>257</v>
      </c>
      <c r="C41" s="33" t="s">
        <v>327</v>
      </c>
    </row>
    <row r="42" customFormat="false" ht="18" hidden="false" customHeight="true" outlineLevel="0" collapsed="false">
      <c r="B42" s="32" t="s">
        <v>328</v>
      </c>
      <c r="C42" s="33" t="s">
        <v>329</v>
      </c>
    </row>
    <row r="43" customFormat="false" ht="18" hidden="false" customHeight="true" outlineLevel="0" collapsed="false">
      <c r="B43" s="32" t="s">
        <v>261</v>
      </c>
      <c r="C43" s="33" t="s">
        <v>330</v>
      </c>
    </row>
    <row r="45" customFormat="false" ht="21.75" hidden="false" customHeight="true" outlineLevel="0" collapsed="false">
      <c r="B45" s="4" t="s">
        <v>263</v>
      </c>
      <c r="C45" s="4"/>
    </row>
    <row r="46" customFormat="false" ht="18" hidden="false" customHeight="true" outlineLevel="0" collapsed="false">
      <c r="B46" s="31" t="s">
        <v>264</v>
      </c>
      <c r="C46" s="31" t="s">
        <v>265</v>
      </c>
    </row>
    <row r="47" customFormat="false" ht="31.5" hidden="false" customHeight="true" outlineLevel="0" collapsed="false">
      <c r="B47" s="32" t="s">
        <v>266</v>
      </c>
      <c r="C47" s="33" t="s">
        <v>331</v>
      </c>
    </row>
    <row r="48" customFormat="false" ht="31.5" hidden="false" customHeight="true" outlineLevel="0" collapsed="false">
      <c r="B48" s="32" t="s">
        <v>268</v>
      </c>
      <c r="C48" s="33" t="s">
        <v>332</v>
      </c>
    </row>
    <row r="50" customFormat="false" ht="21.75" hidden="false" customHeight="true" outlineLevel="0" collapsed="false">
      <c r="B50" s="4" t="s">
        <v>270</v>
      </c>
      <c r="C50" s="4"/>
    </row>
    <row r="51" customFormat="false" ht="73.5" hidden="false" customHeight="true" outlineLevel="0" collapsed="false">
      <c r="B51" s="34" t="s">
        <v>333</v>
      </c>
      <c r="C51" s="36" t="s">
        <v>334</v>
      </c>
    </row>
    <row r="52" customFormat="false" ht="73.5" hidden="false" customHeight="true" outlineLevel="0" collapsed="false">
      <c r="B52" s="34" t="s">
        <v>335</v>
      </c>
      <c r="C52" s="36" t="s">
        <v>336</v>
      </c>
    </row>
    <row r="53" customFormat="false" ht="31.5" hidden="false" customHeight="true" outlineLevel="0" collapsed="false">
      <c r="B53" s="34" t="s">
        <v>337</v>
      </c>
      <c r="C53" s="6" t="s">
        <v>338</v>
      </c>
    </row>
    <row r="54" customFormat="false" ht="18" hidden="false" customHeight="true" outlineLevel="0" collapsed="false">
      <c r="B54" s="34" t="s">
        <v>4</v>
      </c>
      <c r="C54" s="6" t="s">
        <v>339</v>
      </c>
    </row>
    <row r="55" customFormat="false" ht="18" hidden="false" customHeight="true" outlineLevel="0" collapsed="false">
      <c r="B55" s="34" t="s">
        <v>4</v>
      </c>
      <c r="C55" s="6" t="s">
        <v>340</v>
      </c>
    </row>
    <row r="56" customFormat="false" ht="18" hidden="false" customHeight="true" outlineLevel="0" collapsed="false">
      <c r="B56" s="34" t="s">
        <v>4</v>
      </c>
      <c r="C56" s="6" t="s">
        <v>341</v>
      </c>
    </row>
    <row r="57" customFormat="false" ht="18" hidden="false" customHeight="true" outlineLevel="0" collapsed="false">
      <c r="B57" s="34" t="s">
        <v>4</v>
      </c>
      <c r="C57" s="6" t="s">
        <v>342</v>
      </c>
    </row>
    <row r="58" customFormat="false" ht="18" hidden="false" customHeight="true" outlineLevel="0" collapsed="false">
      <c r="B58" s="34" t="s">
        <v>343</v>
      </c>
      <c r="C58" s="6" t="s">
        <v>344</v>
      </c>
    </row>
    <row r="60" customFormat="false" ht="21.75" hidden="false" customHeight="true" outlineLevel="0" collapsed="false">
      <c r="B60" s="4" t="s">
        <v>284</v>
      </c>
      <c r="C60" s="4"/>
    </row>
    <row r="61" customFormat="false" ht="18" hidden="false" customHeight="true" outlineLevel="0" collapsed="false">
      <c r="B61" s="37" t="s">
        <v>177</v>
      </c>
      <c r="C61" s="6" t="s">
        <v>345</v>
      </c>
    </row>
    <row r="62" customFormat="false" ht="18" hidden="false" customHeight="true" outlineLevel="0" collapsed="false">
      <c r="B62" s="37" t="s">
        <v>179</v>
      </c>
      <c r="C62" s="6" t="s">
        <v>346</v>
      </c>
    </row>
    <row r="63" customFormat="false" ht="18" hidden="false" customHeight="true" outlineLevel="0" collapsed="false">
      <c r="B63" s="37" t="s">
        <v>181</v>
      </c>
      <c r="C63" s="6" t="s">
        <v>288</v>
      </c>
    </row>
    <row r="65" customFormat="false" ht="21.75" hidden="false" customHeight="true" outlineLevel="0" collapsed="false">
      <c r="B65" s="4" t="s">
        <v>289</v>
      </c>
      <c r="C65" s="4"/>
    </row>
    <row r="66" customFormat="false" ht="18" hidden="false" customHeight="true" outlineLevel="0" collapsed="false">
      <c r="B66" s="37" t="s">
        <v>290</v>
      </c>
      <c r="C66" s="6" t="s">
        <v>347</v>
      </c>
    </row>
    <row r="67" customFormat="false" ht="18" hidden="false" customHeight="true" outlineLevel="0" collapsed="false">
      <c r="B67" s="37" t="s">
        <v>290</v>
      </c>
      <c r="C67" s="6" t="s">
        <v>348</v>
      </c>
    </row>
    <row r="68" customFormat="false" ht="18" hidden="false" customHeight="true" outlineLevel="0" collapsed="false">
      <c r="B68" s="37" t="s">
        <v>290</v>
      </c>
      <c r="C68" s="6" t="s">
        <v>349</v>
      </c>
    </row>
    <row r="69" customFormat="false" ht="18" hidden="false" customHeight="true" outlineLevel="0" collapsed="false">
      <c r="B69" s="37" t="s">
        <v>290</v>
      </c>
      <c r="C69" s="6" t="s">
        <v>288</v>
      </c>
    </row>
    <row r="71" customFormat="false" ht="15" hidden="false" customHeight="false" outlineLevel="0" collapsed="false">
      <c r="B71" s="30" t="s">
        <v>295</v>
      </c>
      <c r="C71" s="30" t="s">
        <v>350</v>
      </c>
    </row>
  </sheetData>
  <mergeCells count="9">
    <mergeCell ref="B7:C7"/>
    <mergeCell ref="B12:C12"/>
    <mergeCell ref="B18:C18"/>
    <mergeCell ref="B21:C21"/>
    <mergeCell ref="B35:C35"/>
    <mergeCell ref="B45:C45"/>
    <mergeCell ref="B50:C50"/>
    <mergeCell ref="B60:C60"/>
    <mergeCell ref="B65:C65"/>
  </mergeCells>
  <hyperlinks>
    <hyperlink ref="B1" r:id="rId1" location="'Jadwal'!A1" display="◀ kembali ke Jadwal"/>
    <hyperlink ref="C71" r:id="rId2" location="'Kuis &amp; Kunci'!A1" display="lihat sheet &quot;Kuis &amp; Kunci&quot; dan file 02_STUDY_CASE/Day02_Report_PO_Monitoring_Join.m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B1:C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00"/>
    <col collapsed="false" customWidth="true" hidden="false" outlineLevel="0" max="4" min="4" style="0" width="3"/>
  </cols>
  <sheetData>
    <row r="1" customFormat="false" ht="13.5" hidden="false" customHeight="true" outlineLevel="0" collapsed="false">
      <c r="B1" s="38" t="s">
        <v>222</v>
      </c>
    </row>
    <row r="2" customFormat="false" ht="30" hidden="false" customHeight="true" outlineLevel="0" collapsed="false">
      <c r="B2" s="1" t="s">
        <v>351</v>
      </c>
    </row>
    <row r="3" customFormat="false" ht="15" hidden="false" customHeight="false" outlineLevel="0" collapsed="false">
      <c r="B3" s="2" t="s">
        <v>352</v>
      </c>
    </row>
    <row r="4" customFormat="false" ht="6" hidden="false" customHeight="true" outlineLevel="0" collapsed="false">
      <c r="B4" s="3"/>
      <c r="C4" s="3"/>
    </row>
    <row r="7" customFormat="false" ht="21.75" hidden="false" customHeight="true" outlineLevel="0" collapsed="false">
      <c r="B7" s="4" t="s">
        <v>225</v>
      </c>
      <c r="C7" s="4"/>
    </row>
    <row r="8" customFormat="false" ht="18" hidden="false" customHeight="true" outlineLevel="0" collapsed="false">
      <c r="B8" s="37" t="s">
        <v>177</v>
      </c>
      <c r="C8" s="6" t="s">
        <v>353</v>
      </c>
    </row>
    <row r="9" customFormat="false" ht="18" hidden="false" customHeight="true" outlineLevel="0" collapsed="false">
      <c r="B9" s="37" t="s">
        <v>179</v>
      </c>
      <c r="C9" s="6" t="s">
        <v>354</v>
      </c>
    </row>
    <row r="10" customFormat="false" ht="18" hidden="false" customHeight="true" outlineLevel="0" collapsed="false">
      <c r="B10" s="37" t="s">
        <v>181</v>
      </c>
      <c r="C10" s="6" t="s">
        <v>355</v>
      </c>
    </row>
    <row r="11" customFormat="false" ht="31.5" hidden="false" customHeight="true" outlineLevel="0" collapsed="false">
      <c r="B11" s="34"/>
      <c r="C11" s="35" t="s">
        <v>356</v>
      </c>
    </row>
    <row r="13" customFormat="false" ht="21.75" hidden="false" customHeight="true" outlineLevel="0" collapsed="false">
      <c r="B13" s="4" t="s">
        <v>229</v>
      </c>
      <c r="C13" s="4"/>
    </row>
    <row r="14" customFormat="false" ht="18" hidden="false" customHeight="true" outlineLevel="0" collapsed="false">
      <c r="B14" s="31" t="s">
        <v>230</v>
      </c>
      <c r="C14" s="31" t="s">
        <v>231</v>
      </c>
    </row>
    <row r="15" customFormat="false" ht="31.5" hidden="false" customHeight="true" outlineLevel="0" collapsed="false">
      <c r="B15" s="32" t="s">
        <v>232</v>
      </c>
      <c r="C15" s="33" t="s">
        <v>357</v>
      </c>
    </row>
    <row r="16" customFormat="false" ht="18" hidden="false" customHeight="true" outlineLevel="0" collapsed="false">
      <c r="B16" s="32" t="s">
        <v>234</v>
      </c>
      <c r="C16" s="33" t="s">
        <v>358</v>
      </c>
    </row>
    <row r="17" customFormat="false" ht="18" hidden="false" customHeight="true" outlineLevel="0" collapsed="false">
      <c r="B17" s="32" t="s">
        <v>236</v>
      </c>
      <c r="C17" s="33" t="s">
        <v>359</v>
      </c>
    </row>
    <row r="19" customFormat="false" ht="21.75" hidden="false" customHeight="true" outlineLevel="0" collapsed="false">
      <c r="B19" s="4" t="s">
        <v>238</v>
      </c>
      <c r="C19" s="4"/>
    </row>
    <row r="20" customFormat="false" ht="45.75" hidden="false" customHeight="true" outlineLevel="0" collapsed="false">
      <c r="B20" s="34"/>
      <c r="C20" s="6" t="s">
        <v>360</v>
      </c>
    </row>
    <row r="22" customFormat="false" ht="21.75" hidden="false" customHeight="true" outlineLevel="0" collapsed="false">
      <c r="B22" s="4" t="s">
        <v>240</v>
      </c>
      <c r="C22" s="4"/>
    </row>
    <row r="23" customFormat="false" ht="18" hidden="false" customHeight="true" outlineLevel="0" collapsed="false">
      <c r="B23" s="31" t="s">
        <v>361</v>
      </c>
      <c r="C23" s="31" t="s">
        <v>362</v>
      </c>
    </row>
    <row r="24" customFormat="false" ht="18" hidden="false" customHeight="true" outlineLevel="0" collapsed="false">
      <c r="B24" s="32" t="s">
        <v>363</v>
      </c>
      <c r="C24" s="33" t="s">
        <v>364</v>
      </c>
    </row>
    <row r="25" customFormat="false" ht="18" hidden="false" customHeight="true" outlineLevel="0" collapsed="false">
      <c r="B25" s="32" t="s">
        <v>365</v>
      </c>
      <c r="C25" s="33" t="s">
        <v>366</v>
      </c>
    </row>
    <row r="26" customFormat="false" ht="18" hidden="false" customHeight="true" outlineLevel="0" collapsed="false">
      <c r="B26" s="32" t="s">
        <v>367</v>
      </c>
      <c r="C26" s="33" t="s">
        <v>368</v>
      </c>
    </row>
    <row r="27" customFormat="false" ht="18" hidden="false" customHeight="true" outlineLevel="0" collapsed="false">
      <c r="B27" s="32" t="s">
        <v>369</v>
      </c>
      <c r="C27" s="33" t="s">
        <v>370</v>
      </c>
    </row>
    <row r="28" customFormat="false" ht="18" hidden="false" customHeight="true" outlineLevel="0" collapsed="false">
      <c r="B28" s="32" t="s">
        <v>371</v>
      </c>
      <c r="C28" s="33" t="s">
        <v>372</v>
      </c>
    </row>
    <row r="29" customFormat="false" ht="18" hidden="false" customHeight="true" outlineLevel="0" collapsed="false">
      <c r="B29" s="32" t="s">
        <v>373</v>
      </c>
      <c r="C29" s="33" t="s">
        <v>374</v>
      </c>
    </row>
    <row r="30" customFormat="false" ht="18" hidden="false" customHeight="true" outlineLevel="0" collapsed="false">
      <c r="B30" s="34"/>
      <c r="C30" s="6" t="s">
        <v>375</v>
      </c>
    </row>
    <row r="31" customFormat="false" ht="31.5" hidden="false" customHeight="true" outlineLevel="0" collapsed="false">
      <c r="B31" s="37" t="s">
        <v>4</v>
      </c>
      <c r="C31" s="6" t="s">
        <v>376</v>
      </c>
    </row>
    <row r="32" customFormat="false" ht="18" hidden="false" customHeight="true" outlineLevel="0" collapsed="false">
      <c r="B32" s="37" t="s">
        <v>4</v>
      </c>
      <c r="C32" s="6" t="s">
        <v>377</v>
      </c>
    </row>
    <row r="34" customFormat="false" ht="21.75" hidden="false" customHeight="true" outlineLevel="0" collapsed="false">
      <c r="B34" s="4" t="s">
        <v>250</v>
      </c>
      <c r="C34" s="4"/>
    </row>
    <row r="35" customFormat="false" ht="18" hidden="false" customHeight="true" outlineLevel="0" collapsed="false">
      <c r="B35" s="31" t="s">
        <v>251</v>
      </c>
      <c r="C35" s="31" t="s">
        <v>252</v>
      </c>
    </row>
    <row r="36" customFormat="false" ht="31.5" hidden="false" customHeight="true" outlineLevel="0" collapsed="false">
      <c r="B36" s="32" t="s">
        <v>253</v>
      </c>
      <c r="C36" s="33" t="s">
        <v>378</v>
      </c>
    </row>
    <row r="37" customFormat="false" ht="31.5" hidden="false" customHeight="true" outlineLevel="0" collapsed="false">
      <c r="B37" s="32" t="s">
        <v>379</v>
      </c>
      <c r="C37" s="33" t="s">
        <v>380</v>
      </c>
    </row>
    <row r="38" customFormat="false" ht="18" hidden="false" customHeight="true" outlineLevel="0" collapsed="false">
      <c r="B38" s="32" t="s">
        <v>255</v>
      </c>
      <c r="C38" s="33" t="s">
        <v>381</v>
      </c>
    </row>
    <row r="39" customFormat="false" ht="31.5" hidden="false" customHeight="true" outlineLevel="0" collapsed="false">
      <c r="B39" s="32" t="s">
        <v>382</v>
      </c>
      <c r="C39" s="33" t="s">
        <v>383</v>
      </c>
    </row>
    <row r="40" customFormat="false" ht="18" hidden="false" customHeight="true" outlineLevel="0" collapsed="false">
      <c r="B40" s="32" t="s">
        <v>257</v>
      </c>
      <c r="C40" s="33" t="s">
        <v>384</v>
      </c>
    </row>
    <row r="42" customFormat="false" ht="21.75" hidden="false" customHeight="true" outlineLevel="0" collapsed="false">
      <c r="B42" s="4" t="s">
        <v>263</v>
      </c>
      <c r="C42" s="4"/>
    </row>
    <row r="43" customFormat="false" ht="18" hidden="false" customHeight="true" outlineLevel="0" collapsed="false">
      <c r="B43" s="31" t="s">
        <v>264</v>
      </c>
      <c r="C43" s="31" t="s">
        <v>265</v>
      </c>
    </row>
    <row r="44" customFormat="false" ht="31.5" hidden="false" customHeight="true" outlineLevel="0" collapsed="false">
      <c r="B44" s="32" t="s">
        <v>266</v>
      </c>
      <c r="C44" s="33" t="s">
        <v>385</v>
      </c>
    </row>
    <row r="45" customFormat="false" ht="18" hidden="false" customHeight="true" outlineLevel="0" collapsed="false">
      <c r="B45" s="32" t="s">
        <v>268</v>
      </c>
      <c r="C45" s="33" t="s">
        <v>386</v>
      </c>
    </row>
    <row r="47" customFormat="false" ht="21.75" hidden="false" customHeight="true" outlineLevel="0" collapsed="false">
      <c r="B47" s="4" t="s">
        <v>270</v>
      </c>
      <c r="C47" s="4"/>
    </row>
    <row r="48" customFormat="false" ht="87.75" hidden="false" customHeight="true" outlineLevel="0" collapsed="false">
      <c r="B48" s="34" t="s">
        <v>387</v>
      </c>
      <c r="C48" s="36" t="s">
        <v>388</v>
      </c>
    </row>
    <row r="49" customFormat="false" ht="87.75" hidden="false" customHeight="true" outlineLevel="0" collapsed="false">
      <c r="B49" s="34" t="s">
        <v>389</v>
      </c>
      <c r="C49" s="36" t="s">
        <v>390</v>
      </c>
    </row>
    <row r="50" customFormat="false" ht="87.75" hidden="false" customHeight="true" outlineLevel="0" collapsed="false">
      <c r="B50" s="34" t="s">
        <v>391</v>
      </c>
      <c r="C50" s="36" t="s">
        <v>392</v>
      </c>
    </row>
    <row r="51" customFormat="false" ht="73.5" hidden="false" customHeight="true" outlineLevel="0" collapsed="false">
      <c r="B51" s="34" t="s">
        <v>393</v>
      </c>
      <c r="C51" s="36" t="s">
        <v>394</v>
      </c>
    </row>
    <row r="52" customFormat="false" ht="18" hidden="false" customHeight="true" outlineLevel="0" collapsed="false">
      <c r="B52" s="31" t="s">
        <v>230</v>
      </c>
      <c r="C52" s="31" t="s">
        <v>395</v>
      </c>
    </row>
    <row r="53" customFormat="false" ht="18" hidden="false" customHeight="true" outlineLevel="0" collapsed="false">
      <c r="B53" s="34" t="s">
        <v>396</v>
      </c>
      <c r="C53" s="39" t="s">
        <v>397</v>
      </c>
    </row>
    <row r="54" customFormat="false" ht="18" hidden="false" customHeight="true" outlineLevel="0" collapsed="false">
      <c r="B54" s="34" t="s">
        <v>398</v>
      </c>
      <c r="C54" s="39" t="s">
        <v>399</v>
      </c>
    </row>
    <row r="55" customFormat="false" ht="18" hidden="false" customHeight="true" outlineLevel="0" collapsed="false">
      <c r="B55" s="34" t="s">
        <v>400</v>
      </c>
      <c r="C55" s="39" t="s">
        <v>401</v>
      </c>
    </row>
    <row r="56" customFormat="false" ht="18" hidden="false" customHeight="true" outlineLevel="0" collapsed="false">
      <c r="B56" s="34" t="s">
        <v>402</v>
      </c>
      <c r="C56" s="39" t="s">
        <v>403</v>
      </c>
    </row>
    <row r="57" customFormat="false" ht="18" hidden="false" customHeight="true" outlineLevel="0" collapsed="false">
      <c r="B57" s="34" t="s">
        <v>282</v>
      </c>
      <c r="C57" s="6" t="s">
        <v>404</v>
      </c>
    </row>
    <row r="59" customFormat="false" ht="21.75" hidden="false" customHeight="true" outlineLevel="0" collapsed="false">
      <c r="B59" s="4" t="s">
        <v>284</v>
      </c>
      <c r="C59" s="4"/>
    </row>
    <row r="60" customFormat="false" ht="18" hidden="false" customHeight="true" outlineLevel="0" collapsed="false">
      <c r="B60" s="37" t="s">
        <v>177</v>
      </c>
      <c r="C60" s="6" t="s">
        <v>405</v>
      </c>
    </row>
    <row r="61" customFormat="false" ht="18" hidden="false" customHeight="true" outlineLevel="0" collapsed="false">
      <c r="B61" s="37" t="s">
        <v>179</v>
      </c>
      <c r="C61" s="6" t="s">
        <v>406</v>
      </c>
    </row>
    <row r="62" customFormat="false" ht="18" hidden="false" customHeight="true" outlineLevel="0" collapsed="false">
      <c r="B62" s="37" t="s">
        <v>181</v>
      </c>
      <c r="C62" s="6" t="s">
        <v>407</v>
      </c>
    </row>
    <row r="63" customFormat="false" ht="18" hidden="false" customHeight="true" outlineLevel="0" collapsed="false">
      <c r="B63" s="37" t="s">
        <v>183</v>
      </c>
      <c r="C63" s="6" t="s">
        <v>288</v>
      </c>
    </row>
    <row r="65" customFormat="false" ht="21.75" hidden="false" customHeight="true" outlineLevel="0" collapsed="false">
      <c r="B65" s="4" t="s">
        <v>289</v>
      </c>
      <c r="C65" s="4"/>
    </row>
    <row r="66" customFormat="false" ht="18" hidden="false" customHeight="true" outlineLevel="0" collapsed="false">
      <c r="B66" s="37" t="s">
        <v>290</v>
      </c>
      <c r="C66" s="6" t="s">
        <v>408</v>
      </c>
    </row>
    <row r="67" customFormat="false" ht="18" hidden="false" customHeight="true" outlineLevel="0" collapsed="false">
      <c r="B67" s="37" t="s">
        <v>290</v>
      </c>
      <c r="C67" s="6" t="s">
        <v>409</v>
      </c>
    </row>
    <row r="68" customFormat="false" ht="18" hidden="false" customHeight="true" outlineLevel="0" collapsed="false">
      <c r="B68" s="37" t="s">
        <v>290</v>
      </c>
      <c r="C68" s="6" t="s">
        <v>410</v>
      </c>
    </row>
    <row r="69" customFormat="false" ht="18" hidden="false" customHeight="true" outlineLevel="0" collapsed="false">
      <c r="B69" s="37" t="s">
        <v>290</v>
      </c>
      <c r="C69" s="6" t="s">
        <v>288</v>
      </c>
    </row>
    <row r="71" customFormat="false" ht="15" hidden="false" customHeight="false" outlineLevel="0" collapsed="false">
      <c r="B71" s="30" t="s">
        <v>295</v>
      </c>
      <c r="C71" s="30" t="s">
        <v>411</v>
      </c>
    </row>
  </sheetData>
  <mergeCells count="9">
    <mergeCell ref="B7:C7"/>
    <mergeCell ref="B13:C13"/>
    <mergeCell ref="B19:C19"/>
    <mergeCell ref="B22:C22"/>
    <mergeCell ref="B34:C34"/>
    <mergeCell ref="B42:C42"/>
    <mergeCell ref="B47:C47"/>
    <mergeCell ref="B59:C59"/>
    <mergeCell ref="B65:C65"/>
  </mergeCells>
  <hyperlinks>
    <hyperlink ref="B1" r:id="rId1" location="'Jadwal'!A1" display="◀ kembali ke Jadwal"/>
    <hyperlink ref="C71" r:id="rId2" location="'Kuis &amp; Kunci'!A1" display="lihat sheet &quot;Kuis &amp; Kunci&quot; dan file 02_STUDY_CASE/Day03_Program_Transfer_Posting.m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B1:C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00"/>
    <col collapsed="false" customWidth="true" hidden="false" outlineLevel="0" max="4" min="4" style="0" width="3"/>
  </cols>
  <sheetData>
    <row r="1" customFormat="false" ht="13.5" hidden="false" customHeight="true" outlineLevel="0" collapsed="false">
      <c r="B1" s="38" t="s">
        <v>222</v>
      </c>
    </row>
    <row r="2" customFormat="false" ht="30" hidden="false" customHeight="true" outlineLevel="0" collapsed="false">
      <c r="B2" s="1" t="s">
        <v>412</v>
      </c>
    </row>
    <row r="3" customFormat="false" ht="15" hidden="false" customHeight="false" outlineLevel="0" collapsed="false">
      <c r="B3" s="2" t="s">
        <v>352</v>
      </c>
    </row>
    <row r="4" customFormat="false" ht="6" hidden="false" customHeight="true" outlineLevel="0" collapsed="false">
      <c r="B4" s="3"/>
      <c r="C4" s="3"/>
    </row>
    <row r="7" customFormat="false" ht="21.75" hidden="false" customHeight="true" outlineLevel="0" collapsed="false">
      <c r="B7" s="4" t="s">
        <v>225</v>
      </c>
      <c r="C7" s="4"/>
    </row>
    <row r="8" customFormat="false" ht="31.5" hidden="false" customHeight="true" outlineLevel="0" collapsed="false">
      <c r="B8" s="37" t="s">
        <v>177</v>
      </c>
      <c r="C8" s="6" t="s">
        <v>413</v>
      </c>
    </row>
    <row r="9" customFormat="false" ht="31.5" hidden="false" customHeight="true" outlineLevel="0" collapsed="false">
      <c r="B9" s="37" t="s">
        <v>179</v>
      </c>
      <c r="C9" s="6" t="s">
        <v>414</v>
      </c>
    </row>
    <row r="10" customFormat="false" ht="18" hidden="false" customHeight="true" outlineLevel="0" collapsed="false">
      <c r="B10" s="37" t="s">
        <v>181</v>
      </c>
      <c r="C10" s="6" t="s">
        <v>415</v>
      </c>
    </row>
    <row r="12" customFormat="false" ht="21.75" hidden="false" customHeight="true" outlineLevel="0" collapsed="false">
      <c r="B12" s="4" t="s">
        <v>229</v>
      </c>
      <c r="C12" s="4"/>
    </row>
    <row r="13" customFormat="false" ht="18" hidden="false" customHeight="true" outlineLevel="0" collapsed="false">
      <c r="B13" s="31" t="s">
        <v>230</v>
      </c>
      <c r="C13" s="31" t="s">
        <v>231</v>
      </c>
    </row>
    <row r="14" customFormat="false" ht="18" hidden="false" customHeight="true" outlineLevel="0" collapsed="false">
      <c r="B14" s="32" t="s">
        <v>232</v>
      </c>
      <c r="C14" s="33" t="s">
        <v>416</v>
      </c>
    </row>
    <row r="15" customFormat="false" ht="18" hidden="false" customHeight="true" outlineLevel="0" collapsed="false">
      <c r="B15" s="32" t="s">
        <v>234</v>
      </c>
      <c r="C15" s="33" t="s">
        <v>417</v>
      </c>
    </row>
    <row r="16" customFormat="false" ht="18" hidden="false" customHeight="true" outlineLevel="0" collapsed="false">
      <c r="B16" s="32" t="s">
        <v>236</v>
      </c>
      <c r="C16" s="33" t="s">
        <v>418</v>
      </c>
    </row>
    <row r="18" customFormat="false" ht="21.75" hidden="false" customHeight="true" outlineLevel="0" collapsed="false">
      <c r="B18" s="4" t="s">
        <v>238</v>
      </c>
      <c r="C18" s="4"/>
    </row>
    <row r="19" customFormat="false" ht="45.75" hidden="false" customHeight="true" outlineLevel="0" collapsed="false">
      <c r="B19" s="34"/>
      <c r="C19" s="6" t="s">
        <v>419</v>
      </c>
    </row>
    <row r="21" customFormat="false" ht="21.75" hidden="false" customHeight="true" outlineLevel="0" collapsed="false">
      <c r="B21" s="4" t="s">
        <v>240</v>
      </c>
      <c r="C21" s="4"/>
    </row>
    <row r="22" customFormat="false" ht="18" hidden="false" customHeight="true" outlineLevel="0" collapsed="false">
      <c r="B22" s="37" t="s">
        <v>4</v>
      </c>
      <c r="C22" s="6" t="s">
        <v>420</v>
      </c>
    </row>
    <row r="23" customFormat="false" ht="31.5" hidden="false" customHeight="true" outlineLevel="0" collapsed="false">
      <c r="B23" s="37" t="s">
        <v>4</v>
      </c>
      <c r="C23" s="6" t="s">
        <v>421</v>
      </c>
    </row>
    <row r="24" customFormat="false" ht="31.5" hidden="false" customHeight="true" outlineLevel="0" collapsed="false">
      <c r="B24" s="37" t="s">
        <v>4</v>
      </c>
      <c r="C24" s="6" t="s">
        <v>422</v>
      </c>
    </row>
    <row r="25" customFormat="false" ht="31.5" hidden="false" customHeight="true" outlineLevel="0" collapsed="false">
      <c r="B25" s="37" t="s">
        <v>4</v>
      </c>
      <c r="C25" s="6" t="s">
        <v>423</v>
      </c>
    </row>
    <row r="27" customFormat="false" ht="21.75" hidden="false" customHeight="true" outlineLevel="0" collapsed="false">
      <c r="B27" s="4" t="s">
        <v>250</v>
      </c>
      <c r="C27" s="4"/>
    </row>
    <row r="28" customFormat="false" ht="18" hidden="false" customHeight="true" outlineLevel="0" collapsed="false">
      <c r="B28" s="31" t="s">
        <v>251</v>
      </c>
      <c r="C28" s="31" t="s">
        <v>424</v>
      </c>
    </row>
    <row r="29" customFormat="false" ht="31.5" hidden="false" customHeight="true" outlineLevel="0" collapsed="false">
      <c r="B29" s="32" t="s">
        <v>253</v>
      </c>
      <c r="C29" s="33" t="s">
        <v>425</v>
      </c>
    </row>
    <row r="30" customFormat="false" ht="31.5" hidden="false" customHeight="true" outlineLevel="0" collapsed="false">
      <c r="B30" s="32" t="s">
        <v>255</v>
      </c>
      <c r="C30" s="33" t="s">
        <v>426</v>
      </c>
    </row>
    <row r="31" customFormat="false" ht="45.75" hidden="false" customHeight="true" outlineLevel="0" collapsed="false">
      <c r="B31" s="32" t="s">
        <v>257</v>
      </c>
      <c r="C31" s="33" t="s">
        <v>427</v>
      </c>
    </row>
    <row r="32" customFormat="false" ht="31.5" hidden="false" customHeight="true" outlineLevel="0" collapsed="false">
      <c r="B32" s="32" t="s">
        <v>379</v>
      </c>
      <c r="C32" s="33" t="s">
        <v>428</v>
      </c>
    </row>
    <row r="33" customFormat="false" ht="18" hidden="false" customHeight="true" outlineLevel="0" collapsed="false">
      <c r="B33" s="34"/>
      <c r="C33" s="6" t="s">
        <v>429</v>
      </c>
    </row>
    <row r="35" customFormat="false" ht="21.75" hidden="false" customHeight="true" outlineLevel="0" collapsed="false">
      <c r="B35" s="4" t="s">
        <v>263</v>
      </c>
      <c r="C35" s="4"/>
    </row>
    <row r="36" customFormat="false" ht="18" hidden="false" customHeight="true" outlineLevel="0" collapsed="false">
      <c r="B36" s="31" t="s">
        <v>264</v>
      </c>
      <c r="C36" s="31" t="s">
        <v>265</v>
      </c>
    </row>
    <row r="37" customFormat="false" ht="18" hidden="false" customHeight="true" outlineLevel="0" collapsed="false">
      <c r="B37" s="32" t="s">
        <v>266</v>
      </c>
      <c r="C37" s="33" t="s">
        <v>430</v>
      </c>
    </row>
    <row r="38" customFormat="false" ht="31.5" hidden="false" customHeight="true" outlineLevel="0" collapsed="false">
      <c r="B38" s="32" t="s">
        <v>268</v>
      </c>
      <c r="C38" s="33" t="s">
        <v>431</v>
      </c>
    </row>
    <row r="40" customFormat="false" ht="21.75" hidden="false" customHeight="true" outlineLevel="0" collapsed="false">
      <c r="B40" s="4" t="s">
        <v>270</v>
      </c>
      <c r="C40" s="4"/>
    </row>
    <row r="41" customFormat="false" ht="73.5" hidden="false" customHeight="true" outlineLevel="0" collapsed="false">
      <c r="B41" s="34" t="s">
        <v>432</v>
      </c>
      <c r="C41" s="36" t="s">
        <v>433</v>
      </c>
    </row>
    <row r="42" customFormat="false" ht="73.5" hidden="false" customHeight="true" outlineLevel="0" collapsed="false">
      <c r="B42" s="34" t="s">
        <v>434</v>
      </c>
      <c r="C42" s="36" t="s">
        <v>435</v>
      </c>
    </row>
    <row r="43" customFormat="false" ht="45.75" hidden="false" customHeight="true" outlineLevel="0" collapsed="false">
      <c r="B43" s="34" t="s">
        <v>436</v>
      </c>
      <c r="C43" s="36" t="s">
        <v>437</v>
      </c>
    </row>
    <row r="44" customFormat="false" ht="18" hidden="false" customHeight="true" outlineLevel="0" collapsed="false">
      <c r="B44" s="31" t="s">
        <v>230</v>
      </c>
      <c r="C44" s="31" t="s">
        <v>395</v>
      </c>
    </row>
    <row r="45" customFormat="false" ht="18" hidden="false" customHeight="true" outlineLevel="0" collapsed="false">
      <c r="B45" s="34" t="s">
        <v>396</v>
      </c>
      <c r="C45" s="39" t="s">
        <v>438</v>
      </c>
    </row>
    <row r="46" customFormat="false" ht="18" hidden="false" customHeight="true" outlineLevel="0" collapsed="false">
      <c r="B46" s="34" t="s">
        <v>398</v>
      </c>
      <c r="C46" s="39" t="s">
        <v>439</v>
      </c>
    </row>
    <row r="47" customFormat="false" ht="18" hidden="false" customHeight="true" outlineLevel="0" collapsed="false">
      <c r="B47" s="34" t="s">
        <v>400</v>
      </c>
      <c r="C47" s="39" t="s">
        <v>440</v>
      </c>
    </row>
    <row r="48" customFormat="false" ht="18" hidden="false" customHeight="true" outlineLevel="0" collapsed="false">
      <c r="B48" s="34" t="s">
        <v>402</v>
      </c>
      <c r="C48" s="39" t="s">
        <v>441</v>
      </c>
    </row>
    <row r="49" customFormat="false" ht="18" hidden="false" customHeight="true" outlineLevel="0" collapsed="false">
      <c r="B49" s="34" t="s">
        <v>343</v>
      </c>
      <c r="C49" s="6" t="s">
        <v>404</v>
      </c>
    </row>
    <row r="51" customFormat="false" ht="21.75" hidden="false" customHeight="true" outlineLevel="0" collapsed="false">
      <c r="B51" s="4" t="s">
        <v>284</v>
      </c>
      <c r="C51" s="4"/>
    </row>
    <row r="52" customFormat="false" ht="18" hidden="false" customHeight="true" outlineLevel="0" collapsed="false">
      <c r="B52" s="37" t="s">
        <v>177</v>
      </c>
      <c r="C52" s="6" t="s">
        <v>442</v>
      </c>
    </row>
    <row r="53" customFormat="false" ht="18" hidden="false" customHeight="true" outlineLevel="0" collapsed="false">
      <c r="B53" s="37" t="s">
        <v>179</v>
      </c>
      <c r="C53" s="6" t="s">
        <v>443</v>
      </c>
    </row>
    <row r="54" customFormat="false" ht="18" hidden="false" customHeight="true" outlineLevel="0" collapsed="false">
      <c r="B54" s="37" t="s">
        <v>181</v>
      </c>
      <c r="C54" s="6" t="s">
        <v>288</v>
      </c>
    </row>
    <row r="56" customFormat="false" ht="21.75" hidden="false" customHeight="true" outlineLevel="0" collapsed="false">
      <c r="B56" s="4" t="s">
        <v>289</v>
      </c>
      <c r="C56" s="4"/>
    </row>
    <row r="57" customFormat="false" ht="18" hidden="false" customHeight="true" outlineLevel="0" collapsed="false">
      <c r="B57" s="37" t="s">
        <v>290</v>
      </c>
      <c r="C57" s="6" t="s">
        <v>444</v>
      </c>
    </row>
    <row r="58" customFormat="false" ht="18" hidden="false" customHeight="true" outlineLevel="0" collapsed="false">
      <c r="B58" s="37" t="s">
        <v>290</v>
      </c>
      <c r="C58" s="6" t="s">
        <v>445</v>
      </c>
    </row>
    <row r="59" customFormat="false" ht="18" hidden="false" customHeight="true" outlineLevel="0" collapsed="false">
      <c r="B59" s="37" t="s">
        <v>290</v>
      </c>
      <c r="C59" s="6" t="s">
        <v>446</v>
      </c>
    </row>
    <row r="60" customFormat="false" ht="18" hidden="false" customHeight="true" outlineLevel="0" collapsed="false">
      <c r="B60" s="37" t="s">
        <v>290</v>
      </c>
      <c r="C60" s="6" t="s">
        <v>288</v>
      </c>
    </row>
    <row r="62" customFormat="false" ht="15" hidden="false" customHeight="false" outlineLevel="0" collapsed="false">
      <c r="B62" s="30" t="s">
        <v>295</v>
      </c>
      <c r="C62" s="30" t="s">
        <v>447</v>
      </c>
    </row>
  </sheetData>
  <mergeCells count="9">
    <mergeCell ref="B7:C7"/>
    <mergeCell ref="B12:C12"/>
    <mergeCell ref="B18:C18"/>
    <mergeCell ref="B21:C21"/>
    <mergeCell ref="B27:C27"/>
    <mergeCell ref="B35:C35"/>
    <mergeCell ref="B40:C40"/>
    <mergeCell ref="B51:C51"/>
    <mergeCell ref="B56:C56"/>
  </mergeCells>
  <hyperlinks>
    <hyperlink ref="B1" r:id="rId1" location="'Jadwal'!A1" display="◀ kembali ke Jadwal"/>
    <hyperlink ref="C62" r:id="rId2" location="'Kuis &amp; Kunci'!A1" display="lihat sheet &quot;Kuis &amp; Kunci&quot; dan file 02_STUDY_CASE/Day04_Report_dan_Posting_Satu_Program.m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B1:C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00"/>
    <col collapsed="false" customWidth="true" hidden="false" outlineLevel="0" max="4" min="4" style="0" width="3"/>
  </cols>
  <sheetData>
    <row r="1" customFormat="false" ht="13.5" hidden="false" customHeight="true" outlineLevel="0" collapsed="false">
      <c r="B1" s="38" t="s">
        <v>222</v>
      </c>
    </row>
    <row r="2" customFormat="false" ht="30" hidden="false" customHeight="true" outlineLevel="0" collapsed="false">
      <c r="B2" s="1" t="s">
        <v>448</v>
      </c>
    </row>
    <row r="3" customFormat="false" ht="15" hidden="false" customHeight="false" outlineLevel="0" collapsed="false">
      <c r="B3" s="2" t="s">
        <v>449</v>
      </c>
    </row>
    <row r="4" customFormat="false" ht="6" hidden="false" customHeight="true" outlineLevel="0" collapsed="false">
      <c r="B4" s="3"/>
      <c r="C4" s="3"/>
    </row>
    <row r="7" customFormat="false" ht="21.75" hidden="false" customHeight="true" outlineLevel="0" collapsed="false">
      <c r="B7" s="4" t="s">
        <v>225</v>
      </c>
      <c r="C7" s="4"/>
    </row>
    <row r="8" customFormat="false" ht="18" hidden="false" customHeight="true" outlineLevel="0" collapsed="false">
      <c r="B8" s="37" t="s">
        <v>177</v>
      </c>
      <c r="C8" s="6" t="s">
        <v>450</v>
      </c>
    </row>
    <row r="9" customFormat="false" ht="18" hidden="false" customHeight="true" outlineLevel="0" collapsed="false">
      <c r="B9" s="37" t="s">
        <v>179</v>
      </c>
      <c r="C9" s="6" t="s">
        <v>451</v>
      </c>
    </row>
    <row r="10" customFormat="false" ht="18" hidden="false" customHeight="true" outlineLevel="0" collapsed="false">
      <c r="B10" s="37" t="s">
        <v>181</v>
      </c>
      <c r="C10" s="6" t="s">
        <v>452</v>
      </c>
    </row>
    <row r="12" customFormat="false" ht="21.75" hidden="false" customHeight="true" outlineLevel="0" collapsed="false">
      <c r="B12" s="4" t="s">
        <v>229</v>
      </c>
      <c r="C12" s="4"/>
    </row>
    <row r="13" customFormat="false" ht="18" hidden="false" customHeight="true" outlineLevel="0" collapsed="false">
      <c r="B13" s="31" t="s">
        <v>230</v>
      </c>
      <c r="C13" s="31" t="s">
        <v>231</v>
      </c>
    </row>
    <row r="14" customFormat="false" ht="31.5" hidden="false" customHeight="true" outlineLevel="0" collapsed="false">
      <c r="B14" s="32" t="s">
        <v>232</v>
      </c>
      <c r="C14" s="33" t="s">
        <v>453</v>
      </c>
    </row>
    <row r="15" customFormat="false" ht="31.5" hidden="false" customHeight="true" outlineLevel="0" collapsed="false">
      <c r="B15" s="32" t="s">
        <v>234</v>
      </c>
      <c r="C15" s="33" t="s">
        <v>454</v>
      </c>
    </row>
    <row r="16" customFormat="false" ht="18" hidden="false" customHeight="true" outlineLevel="0" collapsed="false">
      <c r="B16" s="32" t="s">
        <v>236</v>
      </c>
      <c r="C16" s="33" t="s">
        <v>455</v>
      </c>
    </row>
    <row r="18" customFormat="false" ht="21.75" hidden="false" customHeight="true" outlineLevel="0" collapsed="false">
      <c r="B18" s="4" t="s">
        <v>240</v>
      </c>
      <c r="C18" s="4"/>
    </row>
    <row r="19" customFormat="false" ht="31.5" hidden="false" customHeight="true" outlineLevel="0" collapsed="false">
      <c r="B19" s="37" t="s">
        <v>4</v>
      </c>
      <c r="C19" s="6" t="s">
        <v>456</v>
      </c>
    </row>
    <row r="20" customFormat="false" ht="18" hidden="false" customHeight="true" outlineLevel="0" collapsed="false">
      <c r="B20" s="37" t="s">
        <v>4</v>
      </c>
      <c r="C20" s="6" t="s">
        <v>457</v>
      </c>
    </row>
    <row r="21" customFormat="false" ht="31.5" hidden="false" customHeight="true" outlineLevel="0" collapsed="false">
      <c r="B21" s="37" t="s">
        <v>4</v>
      </c>
      <c r="C21" s="6" t="s">
        <v>458</v>
      </c>
    </row>
    <row r="22" customFormat="false" ht="18" hidden="false" customHeight="true" outlineLevel="0" collapsed="false">
      <c r="B22" s="37" t="s">
        <v>4</v>
      </c>
      <c r="C22" s="6" t="s">
        <v>459</v>
      </c>
    </row>
    <row r="23" customFormat="false" ht="45.75" hidden="false" customHeight="true" outlineLevel="0" collapsed="false">
      <c r="B23" s="37" t="s">
        <v>4</v>
      </c>
      <c r="C23" s="6" t="s">
        <v>460</v>
      </c>
    </row>
    <row r="24" customFormat="false" ht="18" hidden="false" customHeight="true" outlineLevel="0" collapsed="false">
      <c r="B24" s="37" t="s">
        <v>4</v>
      </c>
      <c r="C24" s="6" t="s">
        <v>461</v>
      </c>
    </row>
    <row r="26" customFormat="false" ht="21.75" hidden="false" customHeight="true" outlineLevel="0" collapsed="false">
      <c r="B26" s="4" t="s">
        <v>250</v>
      </c>
      <c r="C26" s="4"/>
    </row>
    <row r="27" customFormat="false" ht="18" hidden="false" customHeight="true" outlineLevel="0" collapsed="false">
      <c r="B27" s="31" t="s">
        <v>251</v>
      </c>
      <c r="C27" s="31" t="s">
        <v>252</v>
      </c>
    </row>
    <row r="28" customFormat="false" ht="18" hidden="false" customHeight="true" outlineLevel="0" collapsed="false">
      <c r="B28" s="32" t="s">
        <v>253</v>
      </c>
      <c r="C28" s="33" t="s">
        <v>462</v>
      </c>
    </row>
    <row r="29" customFormat="false" ht="31.5" hidden="false" customHeight="true" outlineLevel="0" collapsed="false">
      <c r="B29" s="32" t="s">
        <v>463</v>
      </c>
      <c r="C29" s="33" t="s">
        <v>464</v>
      </c>
    </row>
    <row r="30" customFormat="false" ht="31.5" hidden="false" customHeight="true" outlineLevel="0" collapsed="false">
      <c r="B30" s="32" t="s">
        <v>465</v>
      </c>
      <c r="C30" s="33" t="s">
        <v>466</v>
      </c>
    </row>
    <row r="31" customFormat="false" ht="18" hidden="false" customHeight="true" outlineLevel="0" collapsed="false">
      <c r="B31" s="32" t="s">
        <v>325</v>
      </c>
      <c r="C31" s="33" t="s">
        <v>467</v>
      </c>
    </row>
    <row r="32" customFormat="false" ht="18" hidden="false" customHeight="true" outlineLevel="0" collapsed="false">
      <c r="B32" s="32" t="s">
        <v>257</v>
      </c>
      <c r="C32" s="33" t="s">
        <v>468</v>
      </c>
    </row>
    <row r="33" customFormat="false" ht="18" hidden="false" customHeight="true" outlineLevel="0" collapsed="false">
      <c r="B33" s="32" t="s">
        <v>469</v>
      </c>
      <c r="C33" s="33" t="s">
        <v>470</v>
      </c>
    </row>
    <row r="35" customFormat="false" ht="21.75" hidden="false" customHeight="true" outlineLevel="0" collapsed="false">
      <c r="B35" s="4" t="s">
        <v>263</v>
      </c>
      <c r="C35" s="4"/>
    </row>
    <row r="36" customFormat="false" ht="18" hidden="false" customHeight="true" outlineLevel="0" collapsed="false">
      <c r="B36" s="31" t="s">
        <v>264</v>
      </c>
      <c r="C36" s="31" t="s">
        <v>265</v>
      </c>
    </row>
    <row r="37" customFormat="false" ht="18" hidden="false" customHeight="true" outlineLevel="0" collapsed="false">
      <c r="B37" s="32" t="s">
        <v>266</v>
      </c>
      <c r="C37" s="33" t="s">
        <v>471</v>
      </c>
    </row>
    <row r="38" customFormat="false" ht="31.5" hidden="false" customHeight="true" outlineLevel="0" collapsed="false">
      <c r="B38" s="32" t="s">
        <v>268</v>
      </c>
      <c r="C38" s="33" t="s">
        <v>472</v>
      </c>
    </row>
    <row r="40" customFormat="false" ht="21.75" hidden="false" customHeight="true" outlineLevel="0" collapsed="false">
      <c r="B40" s="4" t="s">
        <v>270</v>
      </c>
      <c r="C40" s="4"/>
    </row>
    <row r="41" customFormat="false" ht="87.75" hidden="false" customHeight="true" outlineLevel="0" collapsed="false">
      <c r="B41" s="34" t="s">
        <v>473</v>
      </c>
      <c r="C41" s="36" t="s">
        <v>474</v>
      </c>
    </row>
    <row r="42" customFormat="false" ht="60" hidden="false" customHeight="true" outlineLevel="0" collapsed="false">
      <c r="B42" s="34" t="s">
        <v>475</v>
      </c>
      <c r="C42" s="36" t="s">
        <v>476</v>
      </c>
    </row>
    <row r="43" customFormat="false" ht="60" hidden="false" customHeight="true" outlineLevel="0" collapsed="false">
      <c r="B43" s="34" t="s">
        <v>477</v>
      </c>
      <c r="C43" s="36" t="s">
        <v>478</v>
      </c>
    </row>
    <row r="44" customFormat="false" ht="31.5" hidden="false" customHeight="true" outlineLevel="0" collapsed="false">
      <c r="B44" s="34" t="s">
        <v>479</v>
      </c>
      <c r="C44" s="6" t="s">
        <v>480</v>
      </c>
    </row>
    <row r="45" customFormat="false" ht="18" hidden="false" customHeight="true" outlineLevel="0" collapsed="false">
      <c r="B45" s="31" t="s">
        <v>230</v>
      </c>
      <c r="C45" s="31" t="s">
        <v>395</v>
      </c>
    </row>
    <row r="46" customFormat="false" ht="18" hidden="false" customHeight="true" outlineLevel="0" collapsed="false">
      <c r="B46" s="34" t="s">
        <v>396</v>
      </c>
      <c r="C46" s="39" t="s">
        <v>481</v>
      </c>
    </row>
    <row r="47" customFormat="false" ht="18" hidden="false" customHeight="true" outlineLevel="0" collapsed="false">
      <c r="B47" s="34" t="s">
        <v>398</v>
      </c>
      <c r="C47" s="39" t="s">
        <v>482</v>
      </c>
    </row>
    <row r="48" customFormat="false" ht="18" hidden="false" customHeight="true" outlineLevel="0" collapsed="false">
      <c r="B48" s="34" t="s">
        <v>400</v>
      </c>
      <c r="C48" s="39" t="s">
        <v>483</v>
      </c>
    </row>
    <row r="49" customFormat="false" ht="18" hidden="false" customHeight="true" outlineLevel="0" collapsed="false">
      <c r="B49" s="34" t="s">
        <v>402</v>
      </c>
      <c r="C49" s="39" t="s">
        <v>484</v>
      </c>
    </row>
    <row r="50" customFormat="false" ht="18" hidden="false" customHeight="true" outlineLevel="0" collapsed="false">
      <c r="B50" s="34" t="s">
        <v>282</v>
      </c>
      <c r="C50" s="6" t="s">
        <v>404</v>
      </c>
    </row>
    <row r="52" customFormat="false" ht="21.75" hidden="false" customHeight="true" outlineLevel="0" collapsed="false">
      <c r="B52" s="4" t="s">
        <v>284</v>
      </c>
      <c r="C52" s="4"/>
    </row>
    <row r="53" customFormat="false" ht="18" hidden="false" customHeight="true" outlineLevel="0" collapsed="false">
      <c r="B53" s="37" t="s">
        <v>177</v>
      </c>
      <c r="C53" s="6" t="s">
        <v>485</v>
      </c>
    </row>
    <row r="54" customFormat="false" ht="18" hidden="false" customHeight="true" outlineLevel="0" collapsed="false">
      <c r="B54" s="37" t="s">
        <v>179</v>
      </c>
      <c r="C54" s="6" t="s">
        <v>442</v>
      </c>
    </row>
    <row r="55" customFormat="false" ht="31.5" hidden="false" customHeight="true" outlineLevel="0" collapsed="false">
      <c r="B55" s="37" t="s">
        <v>181</v>
      </c>
      <c r="C55" s="6" t="s">
        <v>486</v>
      </c>
    </row>
    <row r="56" customFormat="false" ht="18" hidden="false" customHeight="true" outlineLevel="0" collapsed="false">
      <c r="B56" s="37" t="s">
        <v>183</v>
      </c>
      <c r="C56" s="6" t="s">
        <v>288</v>
      </c>
    </row>
    <row r="58" customFormat="false" ht="21.75" hidden="false" customHeight="true" outlineLevel="0" collapsed="false">
      <c r="B58" s="4" t="s">
        <v>289</v>
      </c>
      <c r="C58" s="4"/>
    </row>
    <row r="59" customFormat="false" ht="18" hidden="false" customHeight="true" outlineLevel="0" collapsed="false">
      <c r="B59" s="37" t="s">
        <v>290</v>
      </c>
      <c r="C59" s="6" t="s">
        <v>487</v>
      </c>
    </row>
    <row r="60" customFormat="false" ht="18" hidden="false" customHeight="true" outlineLevel="0" collapsed="false">
      <c r="B60" s="37" t="s">
        <v>290</v>
      </c>
      <c r="C60" s="6" t="s">
        <v>488</v>
      </c>
    </row>
    <row r="61" customFormat="false" ht="18" hidden="false" customHeight="true" outlineLevel="0" collapsed="false">
      <c r="B61" s="37" t="s">
        <v>290</v>
      </c>
      <c r="C61" s="6" t="s">
        <v>489</v>
      </c>
    </row>
    <row r="62" customFormat="false" ht="18" hidden="false" customHeight="true" outlineLevel="0" collapsed="false">
      <c r="B62" s="37" t="s">
        <v>290</v>
      </c>
      <c r="C62" s="6" t="s">
        <v>288</v>
      </c>
    </row>
    <row r="64" customFormat="false" ht="15" hidden="false" customHeight="false" outlineLevel="0" collapsed="false">
      <c r="B64" s="30" t="s">
        <v>295</v>
      </c>
      <c r="C64" s="30" t="s">
        <v>490</v>
      </c>
    </row>
  </sheetData>
  <mergeCells count="8">
    <mergeCell ref="B7:C7"/>
    <mergeCell ref="B12:C12"/>
    <mergeCell ref="B18:C18"/>
    <mergeCell ref="B26:C26"/>
    <mergeCell ref="B35:C35"/>
    <mergeCell ref="B40:C40"/>
    <mergeCell ref="B52:C52"/>
    <mergeCell ref="B58:C58"/>
  </mergeCells>
  <hyperlinks>
    <hyperlink ref="B1" r:id="rId1" location="'Jadwal'!A1" display="◀ kembali ke Jadwal"/>
    <hyperlink ref="C64" r:id="rId2" location="'Kuis &amp; Kunci'!A1" display="lihat sheet &quot;Kuis &amp; Kunci&quot; dan file 02_STUDY_CASE/Day05_PO_Exception_Email.m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B1:C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00"/>
    <col collapsed="false" customWidth="true" hidden="false" outlineLevel="0" max="4" min="4" style="0" width="3"/>
  </cols>
  <sheetData>
    <row r="1" customFormat="false" ht="13.5" hidden="false" customHeight="true" outlineLevel="0" collapsed="false">
      <c r="B1" s="38" t="s">
        <v>222</v>
      </c>
    </row>
    <row r="2" customFormat="false" ht="30" hidden="false" customHeight="true" outlineLevel="0" collapsed="false">
      <c r="B2" s="1" t="s">
        <v>491</v>
      </c>
    </row>
    <row r="3" customFormat="false" ht="15" hidden="false" customHeight="false" outlineLevel="0" collapsed="false">
      <c r="B3" s="2" t="s">
        <v>492</v>
      </c>
    </row>
    <row r="4" customFormat="false" ht="6" hidden="false" customHeight="true" outlineLevel="0" collapsed="false">
      <c r="B4" s="3"/>
      <c r="C4" s="3"/>
    </row>
    <row r="7" customFormat="false" ht="21.75" hidden="false" customHeight="true" outlineLevel="0" collapsed="false">
      <c r="B7" s="4" t="s">
        <v>225</v>
      </c>
      <c r="C7" s="4"/>
    </row>
    <row r="8" customFormat="false" ht="18" hidden="false" customHeight="true" outlineLevel="0" collapsed="false">
      <c r="B8" s="37" t="s">
        <v>177</v>
      </c>
      <c r="C8" s="6" t="s">
        <v>493</v>
      </c>
    </row>
    <row r="9" customFormat="false" ht="18" hidden="false" customHeight="true" outlineLevel="0" collapsed="false">
      <c r="B9" s="37" t="s">
        <v>179</v>
      </c>
      <c r="C9" s="6" t="s">
        <v>494</v>
      </c>
    </row>
    <row r="10" customFormat="false" ht="18" hidden="false" customHeight="true" outlineLevel="0" collapsed="false">
      <c r="B10" s="37" t="s">
        <v>181</v>
      </c>
      <c r="C10" s="6" t="s">
        <v>495</v>
      </c>
    </row>
    <row r="12" customFormat="false" ht="21.75" hidden="false" customHeight="true" outlineLevel="0" collapsed="false">
      <c r="B12" s="4" t="s">
        <v>229</v>
      </c>
      <c r="C12" s="4"/>
    </row>
    <row r="13" customFormat="false" ht="18" hidden="false" customHeight="true" outlineLevel="0" collapsed="false">
      <c r="B13" s="31" t="s">
        <v>230</v>
      </c>
      <c r="C13" s="31" t="s">
        <v>231</v>
      </c>
    </row>
    <row r="14" customFormat="false" ht="31.5" hidden="false" customHeight="true" outlineLevel="0" collapsed="false">
      <c r="B14" s="32" t="s">
        <v>232</v>
      </c>
      <c r="C14" s="33" t="s">
        <v>496</v>
      </c>
    </row>
    <row r="15" customFormat="false" ht="18" hidden="false" customHeight="true" outlineLevel="0" collapsed="false">
      <c r="B15" s="32" t="s">
        <v>234</v>
      </c>
      <c r="C15" s="33" t="s">
        <v>497</v>
      </c>
    </row>
    <row r="16" customFormat="false" ht="18" hidden="false" customHeight="true" outlineLevel="0" collapsed="false">
      <c r="B16" s="32" t="s">
        <v>236</v>
      </c>
      <c r="C16" s="33" t="s">
        <v>498</v>
      </c>
    </row>
    <row r="18" customFormat="false" ht="21.75" hidden="false" customHeight="true" outlineLevel="0" collapsed="false">
      <c r="B18" s="4" t="s">
        <v>238</v>
      </c>
      <c r="C18" s="4"/>
    </row>
    <row r="19" customFormat="false" ht="45.75" hidden="false" customHeight="true" outlineLevel="0" collapsed="false">
      <c r="B19" s="34"/>
      <c r="C19" s="6" t="s">
        <v>499</v>
      </c>
    </row>
    <row r="21" customFormat="false" ht="21.75" hidden="false" customHeight="true" outlineLevel="0" collapsed="false">
      <c r="B21" s="4" t="s">
        <v>240</v>
      </c>
      <c r="C21" s="4"/>
    </row>
    <row r="22" customFormat="false" ht="18" hidden="false" customHeight="true" outlineLevel="0" collapsed="false">
      <c r="B22" s="34"/>
      <c r="C22" s="6" t="s">
        <v>500</v>
      </c>
    </row>
    <row r="23" customFormat="false" ht="18" hidden="false" customHeight="true" outlineLevel="0" collapsed="false">
      <c r="B23" s="31" t="s">
        <v>501</v>
      </c>
      <c r="C23" s="31" t="s">
        <v>502</v>
      </c>
    </row>
    <row r="24" customFormat="false" ht="31.5" hidden="false" customHeight="true" outlineLevel="0" collapsed="false">
      <c r="B24" s="32" t="s">
        <v>503</v>
      </c>
      <c r="C24" s="33" t="s">
        <v>504</v>
      </c>
    </row>
    <row r="25" customFormat="false" ht="31.5" hidden="false" customHeight="true" outlineLevel="0" collapsed="false">
      <c r="B25" s="32" t="s">
        <v>505</v>
      </c>
      <c r="C25" s="33" t="s">
        <v>506</v>
      </c>
    </row>
    <row r="26" customFormat="false" ht="31.5" hidden="false" customHeight="true" outlineLevel="0" collapsed="false">
      <c r="B26" s="32" t="s">
        <v>507</v>
      </c>
      <c r="C26" s="33" t="s">
        <v>508</v>
      </c>
    </row>
    <row r="27" customFormat="false" ht="31.5" hidden="false" customHeight="true" outlineLevel="0" collapsed="false">
      <c r="B27" s="32" t="s">
        <v>509</v>
      </c>
      <c r="C27" s="33" t="s">
        <v>510</v>
      </c>
    </row>
    <row r="28" customFormat="false" ht="31.5" hidden="false" customHeight="true" outlineLevel="0" collapsed="false">
      <c r="B28" s="32" t="s">
        <v>511</v>
      </c>
      <c r="C28" s="33" t="s">
        <v>512</v>
      </c>
    </row>
    <row r="29" customFormat="false" ht="31.5" hidden="false" customHeight="true" outlineLevel="0" collapsed="false">
      <c r="B29" s="32" t="s">
        <v>513</v>
      </c>
      <c r="C29" s="33" t="s">
        <v>514</v>
      </c>
    </row>
    <row r="30" customFormat="false" ht="31.5" hidden="false" customHeight="true" outlineLevel="0" collapsed="false">
      <c r="B30" s="32" t="s">
        <v>515</v>
      </c>
      <c r="C30" s="33" t="s">
        <v>516</v>
      </c>
    </row>
    <row r="31" customFormat="false" ht="18" hidden="false" customHeight="true" outlineLevel="0" collapsed="false">
      <c r="B31" s="34"/>
      <c r="C31" s="35" t="s">
        <v>517</v>
      </c>
    </row>
    <row r="32" customFormat="false" ht="18" hidden="false" customHeight="true" outlineLevel="0" collapsed="false">
      <c r="B32" s="37" t="s">
        <v>4</v>
      </c>
      <c r="C32" s="6" t="s">
        <v>518</v>
      </c>
    </row>
    <row r="33" customFormat="false" ht="18" hidden="false" customHeight="true" outlineLevel="0" collapsed="false">
      <c r="B33" s="37" t="s">
        <v>4</v>
      </c>
      <c r="C33" s="6" t="s">
        <v>519</v>
      </c>
    </row>
    <row r="34" customFormat="false" ht="18" hidden="false" customHeight="true" outlineLevel="0" collapsed="false">
      <c r="B34" s="37" t="s">
        <v>4</v>
      </c>
      <c r="C34" s="6" t="s">
        <v>520</v>
      </c>
    </row>
    <row r="36" customFormat="false" ht="21.75" hidden="false" customHeight="true" outlineLevel="0" collapsed="false">
      <c r="B36" s="4" t="s">
        <v>250</v>
      </c>
      <c r="C36" s="4"/>
    </row>
    <row r="37" customFormat="false" ht="18" hidden="false" customHeight="true" outlineLevel="0" collapsed="false">
      <c r="B37" s="31" t="s">
        <v>251</v>
      </c>
      <c r="C37" s="31" t="s">
        <v>252</v>
      </c>
    </row>
    <row r="38" customFormat="false" ht="31.5" hidden="false" customHeight="true" outlineLevel="0" collapsed="false">
      <c r="B38" s="32" t="s">
        <v>253</v>
      </c>
      <c r="C38" s="33" t="s">
        <v>521</v>
      </c>
    </row>
    <row r="39" customFormat="false" ht="31.5" hidden="false" customHeight="true" outlineLevel="0" collapsed="false">
      <c r="B39" s="32" t="s">
        <v>465</v>
      </c>
      <c r="C39" s="33" t="s">
        <v>522</v>
      </c>
    </row>
    <row r="40" customFormat="false" ht="45.75" hidden="false" customHeight="true" outlineLevel="0" collapsed="false">
      <c r="B40" s="32" t="s">
        <v>523</v>
      </c>
      <c r="C40" s="33" t="s">
        <v>524</v>
      </c>
    </row>
    <row r="41" customFormat="false" ht="31.5" hidden="false" customHeight="true" outlineLevel="0" collapsed="false">
      <c r="B41" s="32" t="s">
        <v>257</v>
      </c>
      <c r="C41" s="33" t="s">
        <v>525</v>
      </c>
    </row>
    <row r="42" customFormat="false" ht="18" hidden="false" customHeight="true" outlineLevel="0" collapsed="false">
      <c r="B42" s="32" t="s">
        <v>526</v>
      </c>
      <c r="C42" s="33" t="s">
        <v>527</v>
      </c>
    </row>
    <row r="44" customFormat="false" ht="21.75" hidden="false" customHeight="true" outlineLevel="0" collapsed="false">
      <c r="B44" s="4" t="s">
        <v>263</v>
      </c>
      <c r="C44" s="4"/>
    </row>
    <row r="45" customFormat="false" ht="18" hidden="false" customHeight="true" outlineLevel="0" collapsed="false">
      <c r="B45" s="31" t="s">
        <v>264</v>
      </c>
      <c r="C45" s="31" t="s">
        <v>265</v>
      </c>
    </row>
    <row r="46" customFormat="false" ht="18" hidden="false" customHeight="true" outlineLevel="0" collapsed="false">
      <c r="B46" s="32" t="s">
        <v>266</v>
      </c>
      <c r="C46" s="33" t="s">
        <v>528</v>
      </c>
    </row>
    <row r="47" customFormat="false" ht="18" hidden="false" customHeight="true" outlineLevel="0" collapsed="false">
      <c r="B47" s="32" t="s">
        <v>268</v>
      </c>
      <c r="C47" s="33" t="s">
        <v>529</v>
      </c>
    </row>
    <row r="48" customFormat="false" ht="18" hidden="false" customHeight="true" outlineLevel="0" collapsed="false">
      <c r="B48" s="34"/>
      <c r="C48" s="6" t="s">
        <v>530</v>
      </c>
    </row>
    <row r="50" customFormat="false" ht="21.75" hidden="false" customHeight="true" outlineLevel="0" collapsed="false">
      <c r="B50" s="4" t="s">
        <v>270</v>
      </c>
      <c r="C50" s="4"/>
    </row>
    <row r="51" customFormat="false" ht="73.5" hidden="false" customHeight="true" outlineLevel="0" collapsed="false">
      <c r="B51" s="34" t="s">
        <v>531</v>
      </c>
      <c r="C51" s="36" t="s">
        <v>532</v>
      </c>
    </row>
    <row r="52" customFormat="false" ht="60" hidden="false" customHeight="true" outlineLevel="0" collapsed="false">
      <c r="B52" s="34" t="s">
        <v>533</v>
      </c>
      <c r="C52" s="36" t="s">
        <v>534</v>
      </c>
    </row>
    <row r="53" customFormat="false" ht="60" hidden="false" customHeight="true" outlineLevel="0" collapsed="false">
      <c r="B53" s="34" t="s">
        <v>535</v>
      </c>
      <c r="C53" s="36" t="s">
        <v>536</v>
      </c>
    </row>
    <row r="54" customFormat="false" ht="60" hidden="false" customHeight="true" outlineLevel="0" collapsed="false">
      <c r="B54" s="34" t="s">
        <v>537</v>
      </c>
      <c r="C54" s="36" t="s">
        <v>538</v>
      </c>
    </row>
    <row r="55" customFormat="false" ht="102" hidden="false" customHeight="true" outlineLevel="0" collapsed="false">
      <c r="B55" s="34" t="s">
        <v>539</v>
      </c>
      <c r="C55" s="36" t="s">
        <v>540</v>
      </c>
    </row>
    <row r="56" customFormat="false" ht="18" hidden="false" customHeight="true" outlineLevel="0" collapsed="false">
      <c r="B56" s="34" t="s">
        <v>282</v>
      </c>
      <c r="C56" s="6" t="s">
        <v>344</v>
      </c>
    </row>
    <row r="58" customFormat="false" ht="21.75" hidden="false" customHeight="true" outlineLevel="0" collapsed="false">
      <c r="B58" s="4" t="s">
        <v>284</v>
      </c>
      <c r="C58" s="4"/>
    </row>
    <row r="59" customFormat="false" ht="18" hidden="false" customHeight="true" outlineLevel="0" collapsed="false">
      <c r="B59" s="34"/>
      <c r="C59" s="6" t="s">
        <v>541</v>
      </c>
    </row>
    <row r="60" customFormat="false" ht="18" hidden="false" customHeight="true" outlineLevel="0" collapsed="false">
      <c r="B60" s="37" t="s">
        <v>4</v>
      </c>
      <c r="C60" s="6" t="s">
        <v>542</v>
      </c>
    </row>
    <row r="61" customFormat="false" ht="18" hidden="false" customHeight="true" outlineLevel="0" collapsed="false">
      <c r="B61" s="37" t="s">
        <v>4</v>
      </c>
      <c r="C61" s="6" t="s">
        <v>543</v>
      </c>
    </row>
    <row r="62" customFormat="false" ht="18" hidden="false" customHeight="true" outlineLevel="0" collapsed="false">
      <c r="B62" s="37" t="s">
        <v>4</v>
      </c>
      <c r="C62" s="6" t="s">
        <v>544</v>
      </c>
    </row>
    <row r="64" customFormat="false" ht="21.75" hidden="false" customHeight="true" outlineLevel="0" collapsed="false">
      <c r="B64" s="4" t="s">
        <v>289</v>
      </c>
      <c r="C64" s="4"/>
    </row>
    <row r="65" customFormat="false" ht="18" hidden="false" customHeight="true" outlineLevel="0" collapsed="false">
      <c r="B65" s="37" t="s">
        <v>290</v>
      </c>
      <c r="C65" s="6" t="s">
        <v>545</v>
      </c>
    </row>
    <row r="66" customFormat="false" ht="18" hidden="false" customHeight="true" outlineLevel="0" collapsed="false">
      <c r="B66" s="37" t="s">
        <v>290</v>
      </c>
      <c r="C66" s="6" t="s">
        <v>546</v>
      </c>
    </row>
    <row r="67" customFormat="false" ht="18" hidden="false" customHeight="true" outlineLevel="0" collapsed="false">
      <c r="B67" s="37" t="s">
        <v>290</v>
      </c>
      <c r="C67" s="6" t="s">
        <v>547</v>
      </c>
    </row>
    <row r="68" customFormat="false" ht="18" hidden="false" customHeight="true" outlineLevel="0" collapsed="false">
      <c r="B68" s="37" t="s">
        <v>290</v>
      </c>
      <c r="C68" s="6" t="s">
        <v>548</v>
      </c>
    </row>
    <row r="69" customFormat="false" ht="18" hidden="false" customHeight="true" outlineLevel="0" collapsed="false">
      <c r="B69" s="37" t="s">
        <v>290</v>
      </c>
      <c r="C69" s="6" t="s">
        <v>294</v>
      </c>
    </row>
    <row r="71" customFormat="false" ht="15" hidden="false" customHeight="false" outlineLevel="0" collapsed="false">
      <c r="B71" s="30" t="s">
        <v>295</v>
      </c>
      <c r="C71" s="30" t="s">
        <v>549</v>
      </c>
    </row>
  </sheetData>
  <mergeCells count="9">
    <mergeCell ref="B7:C7"/>
    <mergeCell ref="B12:C12"/>
    <mergeCell ref="B18:C18"/>
    <mergeCell ref="B21:C21"/>
    <mergeCell ref="B36:C36"/>
    <mergeCell ref="B44:C44"/>
    <mergeCell ref="B50:C50"/>
    <mergeCell ref="B58:C58"/>
    <mergeCell ref="B64:C64"/>
  </mergeCells>
  <hyperlinks>
    <hyperlink ref="B1" r:id="rId1" location="'Jadwal'!A1" display="◀ kembali ke Jadwal"/>
    <hyperlink ref="C71" r:id="rId2" location="'Kuis &amp; Kunci'!A1" display="lihat sheet &quot;Kuis &amp; Kunci&quot; dan file 02_STUDY_CASE/Day06_PP_Status_Order_dan_Auto_TECO.m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B1:C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00"/>
    <col collapsed="false" customWidth="true" hidden="false" outlineLevel="0" max="4" min="4" style="0" width="3"/>
  </cols>
  <sheetData>
    <row r="1" customFormat="false" ht="13.5" hidden="false" customHeight="true" outlineLevel="0" collapsed="false">
      <c r="B1" s="38" t="s">
        <v>222</v>
      </c>
    </row>
    <row r="2" customFormat="false" ht="30" hidden="false" customHeight="true" outlineLevel="0" collapsed="false">
      <c r="B2" s="1" t="s">
        <v>550</v>
      </c>
    </row>
    <row r="3" customFormat="false" ht="15" hidden="false" customHeight="false" outlineLevel="0" collapsed="false">
      <c r="B3" s="2" t="s">
        <v>551</v>
      </c>
    </row>
    <row r="4" customFormat="false" ht="6" hidden="false" customHeight="true" outlineLevel="0" collapsed="false">
      <c r="B4" s="3"/>
      <c r="C4" s="3"/>
    </row>
    <row r="7" customFormat="false" ht="21.75" hidden="false" customHeight="true" outlineLevel="0" collapsed="false">
      <c r="B7" s="4" t="s">
        <v>225</v>
      </c>
      <c r="C7" s="4"/>
    </row>
    <row r="8" customFormat="false" ht="18" hidden="false" customHeight="true" outlineLevel="0" collapsed="false">
      <c r="B8" s="37" t="s">
        <v>177</v>
      </c>
      <c r="C8" s="6" t="s">
        <v>552</v>
      </c>
    </row>
    <row r="9" customFormat="false" ht="18" hidden="false" customHeight="true" outlineLevel="0" collapsed="false">
      <c r="B9" s="37" t="s">
        <v>179</v>
      </c>
      <c r="C9" s="6" t="s">
        <v>553</v>
      </c>
    </row>
    <row r="10" customFormat="false" ht="18" hidden="false" customHeight="true" outlineLevel="0" collapsed="false">
      <c r="B10" s="37" t="s">
        <v>181</v>
      </c>
      <c r="C10" s="6" t="s">
        <v>554</v>
      </c>
    </row>
    <row r="12" customFormat="false" ht="21.75" hidden="false" customHeight="true" outlineLevel="0" collapsed="false">
      <c r="B12" s="4" t="s">
        <v>229</v>
      </c>
      <c r="C12" s="4"/>
    </row>
    <row r="13" customFormat="false" ht="18" hidden="false" customHeight="true" outlineLevel="0" collapsed="false">
      <c r="B13" s="31" t="s">
        <v>230</v>
      </c>
      <c r="C13" s="31" t="s">
        <v>231</v>
      </c>
    </row>
    <row r="14" customFormat="false" ht="18" hidden="false" customHeight="true" outlineLevel="0" collapsed="false">
      <c r="B14" s="32" t="s">
        <v>232</v>
      </c>
      <c r="C14" s="33" t="s">
        <v>555</v>
      </c>
    </row>
    <row r="15" customFormat="false" ht="18" hidden="false" customHeight="true" outlineLevel="0" collapsed="false">
      <c r="B15" s="32" t="s">
        <v>234</v>
      </c>
      <c r="C15" s="33" t="s">
        <v>556</v>
      </c>
    </row>
    <row r="16" customFormat="false" ht="18" hidden="false" customHeight="true" outlineLevel="0" collapsed="false">
      <c r="B16" s="32" t="s">
        <v>236</v>
      </c>
      <c r="C16" s="33" t="s">
        <v>557</v>
      </c>
    </row>
    <row r="18" customFormat="false" ht="21.75" hidden="false" customHeight="true" outlineLevel="0" collapsed="false">
      <c r="B18" s="4" t="s">
        <v>238</v>
      </c>
      <c r="C18" s="4"/>
    </row>
    <row r="19" customFormat="false" ht="45.75" hidden="false" customHeight="true" outlineLevel="0" collapsed="false">
      <c r="B19" s="34"/>
      <c r="C19" s="6" t="s">
        <v>558</v>
      </c>
    </row>
    <row r="20" customFormat="false" ht="18" hidden="false" customHeight="true" outlineLevel="0" collapsed="false">
      <c r="B20" s="31" t="s">
        <v>559</v>
      </c>
      <c r="C20" s="31" t="s">
        <v>560</v>
      </c>
    </row>
    <row r="21" customFormat="false" ht="18" hidden="false" customHeight="true" outlineLevel="0" collapsed="false">
      <c r="B21" s="32" t="s">
        <v>561</v>
      </c>
      <c r="C21" s="33" t="s">
        <v>562</v>
      </c>
    </row>
    <row r="22" customFormat="false" ht="18" hidden="false" customHeight="true" outlineLevel="0" collapsed="false">
      <c r="B22" s="32" t="s">
        <v>563</v>
      </c>
      <c r="C22" s="33" t="s">
        <v>564</v>
      </c>
    </row>
    <row r="23" customFormat="false" ht="18" hidden="false" customHeight="true" outlineLevel="0" collapsed="false">
      <c r="B23" s="32" t="s">
        <v>565</v>
      </c>
      <c r="C23" s="33" t="s">
        <v>566</v>
      </c>
    </row>
    <row r="24" customFormat="false" ht="18" hidden="false" customHeight="true" outlineLevel="0" collapsed="false">
      <c r="B24" s="34"/>
      <c r="C24" s="6" t="s">
        <v>567</v>
      </c>
    </row>
    <row r="26" customFormat="false" ht="21.75" hidden="false" customHeight="true" outlineLevel="0" collapsed="false">
      <c r="B26" s="4" t="s">
        <v>240</v>
      </c>
      <c r="C26" s="4"/>
    </row>
    <row r="27" customFormat="false" ht="18" hidden="false" customHeight="true" outlineLevel="0" collapsed="false">
      <c r="B27" s="37" t="s">
        <v>4</v>
      </c>
      <c r="C27" s="6" t="s">
        <v>568</v>
      </c>
    </row>
    <row r="28" customFormat="false" ht="18" hidden="false" customHeight="true" outlineLevel="0" collapsed="false">
      <c r="B28" s="37" t="s">
        <v>4</v>
      </c>
      <c r="C28" s="6" t="s">
        <v>569</v>
      </c>
    </row>
    <row r="29" customFormat="false" ht="18" hidden="false" customHeight="true" outlineLevel="0" collapsed="false">
      <c r="B29" s="37" t="s">
        <v>4</v>
      </c>
      <c r="C29" s="6" t="s">
        <v>570</v>
      </c>
    </row>
    <row r="30" customFormat="false" ht="31.5" hidden="false" customHeight="true" outlineLevel="0" collapsed="false">
      <c r="B30" s="37" t="s">
        <v>4</v>
      </c>
      <c r="C30" s="6" t="s">
        <v>571</v>
      </c>
    </row>
    <row r="32" customFormat="false" ht="21.75" hidden="false" customHeight="true" outlineLevel="0" collapsed="false">
      <c r="B32" s="4" t="s">
        <v>263</v>
      </c>
      <c r="C32" s="4"/>
    </row>
    <row r="33" customFormat="false" ht="18" hidden="false" customHeight="true" outlineLevel="0" collapsed="false">
      <c r="B33" s="31" t="s">
        <v>264</v>
      </c>
      <c r="C33" s="31" t="s">
        <v>265</v>
      </c>
    </row>
    <row r="34" customFormat="false" ht="18" hidden="false" customHeight="true" outlineLevel="0" collapsed="false">
      <c r="B34" s="32" t="s">
        <v>266</v>
      </c>
      <c r="C34" s="33" t="s">
        <v>572</v>
      </c>
    </row>
    <row r="35" customFormat="false" ht="31.5" hidden="false" customHeight="true" outlineLevel="0" collapsed="false">
      <c r="B35" s="32" t="s">
        <v>268</v>
      </c>
      <c r="C35" s="33" t="s">
        <v>573</v>
      </c>
    </row>
    <row r="36" customFormat="false" ht="18" hidden="false" customHeight="true" outlineLevel="0" collapsed="false">
      <c r="B36" s="34"/>
      <c r="C36" s="6" t="s">
        <v>530</v>
      </c>
    </row>
    <row r="38" customFormat="false" ht="21.75" hidden="false" customHeight="true" outlineLevel="0" collapsed="false">
      <c r="B38" s="4" t="s">
        <v>270</v>
      </c>
      <c r="C38" s="4"/>
    </row>
    <row r="39" customFormat="false" ht="60" hidden="false" customHeight="true" outlineLevel="0" collapsed="false">
      <c r="B39" s="34" t="s">
        <v>574</v>
      </c>
      <c r="C39" s="36" t="s">
        <v>575</v>
      </c>
    </row>
    <row r="40" customFormat="false" ht="73.5" hidden="false" customHeight="true" outlineLevel="0" collapsed="false">
      <c r="B40" s="34" t="s">
        <v>576</v>
      </c>
      <c r="C40" s="36" t="s">
        <v>577</v>
      </c>
    </row>
    <row r="41" customFormat="false" ht="115.5" hidden="false" customHeight="true" outlineLevel="0" collapsed="false">
      <c r="B41" s="34" t="s">
        <v>578</v>
      </c>
      <c r="C41" s="36" t="s">
        <v>579</v>
      </c>
    </row>
    <row r="42" customFormat="false" ht="31.5" hidden="false" customHeight="true" outlineLevel="0" collapsed="false">
      <c r="B42" s="34" t="s">
        <v>580</v>
      </c>
      <c r="C42" s="6" t="s">
        <v>581</v>
      </c>
    </row>
    <row r="43" customFormat="false" ht="60" hidden="false" customHeight="true" outlineLevel="0" collapsed="false">
      <c r="B43" s="34" t="s">
        <v>582</v>
      </c>
      <c r="C43" s="36" t="s">
        <v>583</v>
      </c>
    </row>
    <row r="45" customFormat="false" ht="21.75" hidden="false" customHeight="true" outlineLevel="0" collapsed="false">
      <c r="B45" s="4" t="s">
        <v>284</v>
      </c>
      <c r="C45" s="4"/>
    </row>
    <row r="46" customFormat="false" ht="18" hidden="false" customHeight="true" outlineLevel="0" collapsed="false">
      <c r="B46" s="37" t="s">
        <v>177</v>
      </c>
      <c r="C46" s="6" t="s">
        <v>584</v>
      </c>
    </row>
    <row r="47" customFormat="false" ht="18" hidden="false" customHeight="true" outlineLevel="0" collapsed="false">
      <c r="B47" s="37" t="s">
        <v>179</v>
      </c>
      <c r="C47" s="6" t="s">
        <v>585</v>
      </c>
    </row>
    <row r="48" customFormat="false" ht="18" hidden="false" customHeight="true" outlineLevel="0" collapsed="false">
      <c r="B48" s="37" t="s">
        <v>181</v>
      </c>
      <c r="C48" s="6" t="s">
        <v>586</v>
      </c>
    </row>
    <row r="50" customFormat="false" ht="21.75" hidden="false" customHeight="true" outlineLevel="0" collapsed="false">
      <c r="B50" s="4" t="s">
        <v>289</v>
      </c>
      <c r="C50" s="4"/>
    </row>
    <row r="51" customFormat="false" ht="18" hidden="false" customHeight="true" outlineLevel="0" collapsed="false">
      <c r="B51" s="37" t="s">
        <v>290</v>
      </c>
      <c r="C51" s="6" t="s">
        <v>587</v>
      </c>
    </row>
    <row r="52" customFormat="false" ht="18" hidden="false" customHeight="true" outlineLevel="0" collapsed="false">
      <c r="B52" s="37" t="s">
        <v>290</v>
      </c>
      <c r="C52" s="6" t="s">
        <v>588</v>
      </c>
    </row>
    <row r="53" customFormat="false" ht="18" hidden="false" customHeight="true" outlineLevel="0" collapsed="false">
      <c r="B53" s="37" t="s">
        <v>290</v>
      </c>
      <c r="C53" s="6" t="s">
        <v>589</v>
      </c>
    </row>
    <row r="54" customFormat="false" ht="18" hidden="false" customHeight="true" outlineLevel="0" collapsed="false">
      <c r="B54" s="37" t="s">
        <v>290</v>
      </c>
      <c r="C54" s="6" t="s">
        <v>590</v>
      </c>
    </row>
    <row r="55" customFormat="false" ht="18" hidden="false" customHeight="true" outlineLevel="0" collapsed="false">
      <c r="B55" s="37" t="s">
        <v>290</v>
      </c>
      <c r="C55" s="6" t="s">
        <v>294</v>
      </c>
    </row>
    <row r="57" customFormat="false" ht="15" hidden="false" customHeight="false" outlineLevel="0" collapsed="false">
      <c r="B57" s="30" t="s">
        <v>295</v>
      </c>
      <c r="C57" s="30" t="s">
        <v>591</v>
      </c>
    </row>
  </sheetData>
  <mergeCells count="8">
    <mergeCell ref="B7:C7"/>
    <mergeCell ref="B12:C12"/>
    <mergeCell ref="B18:C18"/>
    <mergeCell ref="B26:C26"/>
    <mergeCell ref="B32:C32"/>
    <mergeCell ref="B38:C38"/>
    <mergeCell ref="B45:C45"/>
    <mergeCell ref="B50:C50"/>
  </mergeCells>
  <hyperlinks>
    <hyperlink ref="B1" r:id="rId1" location="'Jadwal'!A1" display="◀ kembali ke Jadwal"/>
    <hyperlink ref="C57" r:id="rId2" location="'Kuis &amp; Kunci'!A1" display="lihat sheet &quot;Kuis &amp; Kunci&quot; dan file 02_STUDY_CASE/Day07_MM_Movement_Type_dan_Reversal.m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B1:C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00"/>
    <col collapsed="false" customWidth="true" hidden="false" outlineLevel="0" max="4" min="4" style="0" width="3"/>
  </cols>
  <sheetData>
    <row r="1" customFormat="false" ht="13.5" hidden="false" customHeight="true" outlineLevel="0" collapsed="false">
      <c r="B1" s="38" t="s">
        <v>222</v>
      </c>
    </row>
    <row r="2" customFormat="false" ht="30" hidden="false" customHeight="true" outlineLevel="0" collapsed="false">
      <c r="B2" s="1" t="s">
        <v>592</v>
      </c>
    </row>
    <row r="3" customFormat="false" ht="15" hidden="false" customHeight="false" outlineLevel="0" collapsed="false">
      <c r="B3" s="2" t="s">
        <v>593</v>
      </c>
    </row>
    <row r="4" customFormat="false" ht="6" hidden="false" customHeight="true" outlineLevel="0" collapsed="false">
      <c r="B4" s="3"/>
      <c r="C4" s="3"/>
    </row>
    <row r="7" customFormat="false" ht="21.75" hidden="false" customHeight="true" outlineLevel="0" collapsed="false">
      <c r="B7" s="4" t="s">
        <v>225</v>
      </c>
      <c r="C7" s="4"/>
    </row>
    <row r="8" customFormat="false" ht="18" hidden="false" customHeight="true" outlineLevel="0" collapsed="false">
      <c r="B8" s="37" t="s">
        <v>177</v>
      </c>
      <c r="C8" s="6" t="s">
        <v>594</v>
      </c>
    </row>
    <row r="9" customFormat="false" ht="18" hidden="false" customHeight="true" outlineLevel="0" collapsed="false">
      <c r="B9" s="37" t="s">
        <v>179</v>
      </c>
      <c r="C9" s="6" t="s">
        <v>595</v>
      </c>
    </row>
    <row r="10" customFormat="false" ht="18" hidden="false" customHeight="true" outlineLevel="0" collapsed="false">
      <c r="B10" s="37" t="s">
        <v>181</v>
      </c>
      <c r="C10" s="6" t="s">
        <v>596</v>
      </c>
    </row>
    <row r="12" customFormat="false" ht="21.75" hidden="false" customHeight="true" outlineLevel="0" collapsed="false">
      <c r="B12" s="4" t="s">
        <v>229</v>
      </c>
      <c r="C12" s="4"/>
    </row>
    <row r="13" customFormat="false" ht="18" hidden="false" customHeight="true" outlineLevel="0" collapsed="false">
      <c r="B13" s="31" t="s">
        <v>230</v>
      </c>
      <c r="C13" s="31" t="s">
        <v>231</v>
      </c>
    </row>
    <row r="14" customFormat="false" ht="18" hidden="false" customHeight="true" outlineLevel="0" collapsed="false">
      <c r="B14" s="32" t="s">
        <v>232</v>
      </c>
      <c r="C14" s="33" t="s">
        <v>597</v>
      </c>
    </row>
    <row r="15" customFormat="false" ht="31.5" hidden="false" customHeight="true" outlineLevel="0" collapsed="false">
      <c r="B15" s="32" t="s">
        <v>234</v>
      </c>
      <c r="C15" s="33" t="s">
        <v>598</v>
      </c>
    </row>
    <row r="16" customFormat="false" ht="18" hidden="false" customHeight="true" outlineLevel="0" collapsed="false">
      <c r="B16" s="32" t="s">
        <v>236</v>
      </c>
      <c r="C16" s="33" t="s">
        <v>599</v>
      </c>
    </row>
    <row r="18" customFormat="false" ht="21.75" hidden="false" customHeight="true" outlineLevel="0" collapsed="false">
      <c r="B18" s="4" t="s">
        <v>238</v>
      </c>
      <c r="C18" s="4"/>
    </row>
    <row r="19" customFormat="false" ht="45.75" hidden="false" customHeight="true" outlineLevel="0" collapsed="false">
      <c r="B19" s="34"/>
      <c r="C19" s="6" t="s">
        <v>600</v>
      </c>
    </row>
    <row r="21" customFormat="false" ht="21.75" hidden="false" customHeight="true" outlineLevel="0" collapsed="false">
      <c r="B21" s="4" t="s">
        <v>240</v>
      </c>
      <c r="C21" s="4"/>
    </row>
    <row r="22" customFormat="false" ht="18" hidden="false" customHeight="true" outlineLevel="0" collapsed="false">
      <c r="B22" s="37" t="s">
        <v>4</v>
      </c>
      <c r="C22" s="6" t="s">
        <v>601</v>
      </c>
    </row>
    <row r="23" customFormat="false" ht="31.5" hidden="false" customHeight="true" outlineLevel="0" collapsed="false">
      <c r="B23" s="37" t="s">
        <v>4</v>
      </c>
      <c r="C23" s="6" t="s">
        <v>602</v>
      </c>
    </row>
    <row r="24" customFormat="false" ht="31.5" hidden="false" customHeight="true" outlineLevel="0" collapsed="false">
      <c r="B24" s="37" t="s">
        <v>4</v>
      </c>
      <c r="C24" s="6" t="s">
        <v>603</v>
      </c>
    </row>
    <row r="25" customFormat="false" ht="18" hidden="false" customHeight="true" outlineLevel="0" collapsed="false">
      <c r="B25" s="37" t="s">
        <v>4</v>
      </c>
      <c r="C25" s="6" t="s">
        <v>604</v>
      </c>
    </row>
    <row r="27" customFormat="false" ht="21.75" hidden="false" customHeight="true" outlineLevel="0" collapsed="false">
      <c r="B27" s="4" t="s">
        <v>263</v>
      </c>
      <c r="C27" s="4"/>
    </row>
    <row r="28" customFormat="false" ht="18" hidden="false" customHeight="true" outlineLevel="0" collapsed="false">
      <c r="B28" s="31" t="s">
        <v>264</v>
      </c>
      <c r="C28" s="31" t="s">
        <v>265</v>
      </c>
    </row>
    <row r="29" customFormat="false" ht="18" hidden="false" customHeight="true" outlineLevel="0" collapsed="false">
      <c r="B29" s="32" t="s">
        <v>266</v>
      </c>
      <c r="C29" s="33" t="s">
        <v>605</v>
      </c>
    </row>
    <row r="30" customFormat="false" ht="18" hidden="false" customHeight="true" outlineLevel="0" collapsed="false">
      <c r="B30" s="32" t="s">
        <v>268</v>
      </c>
      <c r="C30" s="33" t="s">
        <v>606</v>
      </c>
    </row>
    <row r="31" customFormat="false" ht="18" hidden="false" customHeight="true" outlineLevel="0" collapsed="false">
      <c r="B31" s="34"/>
      <c r="C31" s="6" t="s">
        <v>530</v>
      </c>
    </row>
    <row r="33" customFormat="false" ht="21.75" hidden="false" customHeight="true" outlineLevel="0" collapsed="false">
      <c r="B33" s="4" t="s">
        <v>270</v>
      </c>
      <c r="C33" s="4"/>
    </row>
    <row r="34" customFormat="false" ht="60" hidden="false" customHeight="true" outlineLevel="0" collapsed="false">
      <c r="B34" s="34" t="s">
        <v>607</v>
      </c>
      <c r="C34" s="36" t="s">
        <v>608</v>
      </c>
    </row>
    <row r="35" customFormat="false" ht="87.75" hidden="false" customHeight="true" outlineLevel="0" collapsed="false">
      <c r="B35" s="34" t="s">
        <v>609</v>
      </c>
      <c r="C35" s="36" t="s">
        <v>610</v>
      </c>
    </row>
    <row r="36" customFormat="false" ht="115.5" hidden="false" customHeight="true" outlineLevel="0" collapsed="false">
      <c r="B36" s="34" t="s">
        <v>611</v>
      </c>
      <c r="C36" s="36" t="s">
        <v>612</v>
      </c>
    </row>
    <row r="38" customFormat="false" ht="21.75" hidden="false" customHeight="true" outlineLevel="0" collapsed="false">
      <c r="B38" s="4" t="s">
        <v>284</v>
      </c>
      <c r="C38" s="4"/>
    </row>
    <row r="39" customFormat="false" ht="18" hidden="false" customHeight="true" outlineLevel="0" collapsed="false">
      <c r="B39" s="37" t="s">
        <v>177</v>
      </c>
      <c r="C39" s="6" t="s">
        <v>613</v>
      </c>
    </row>
    <row r="40" customFormat="false" ht="18" hidden="false" customHeight="true" outlineLevel="0" collapsed="false">
      <c r="B40" s="37" t="s">
        <v>179</v>
      </c>
      <c r="C40" s="6" t="s">
        <v>614</v>
      </c>
    </row>
    <row r="41" customFormat="false" ht="18" hidden="false" customHeight="true" outlineLevel="0" collapsed="false">
      <c r="B41" s="37" t="s">
        <v>181</v>
      </c>
      <c r="C41" s="6" t="s">
        <v>615</v>
      </c>
    </row>
    <row r="43" customFormat="false" ht="21.75" hidden="false" customHeight="true" outlineLevel="0" collapsed="false">
      <c r="B43" s="4" t="s">
        <v>289</v>
      </c>
      <c r="C43" s="4"/>
    </row>
    <row r="44" customFormat="false" ht="18" hidden="false" customHeight="true" outlineLevel="0" collapsed="false">
      <c r="B44" s="37" t="s">
        <v>290</v>
      </c>
      <c r="C44" s="6" t="s">
        <v>616</v>
      </c>
    </row>
    <row r="45" customFormat="false" ht="18" hidden="false" customHeight="true" outlineLevel="0" collapsed="false">
      <c r="B45" s="37" t="s">
        <v>290</v>
      </c>
      <c r="C45" s="6" t="s">
        <v>617</v>
      </c>
    </row>
    <row r="46" customFormat="false" ht="18" hidden="false" customHeight="true" outlineLevel="0" collapsed="false">
      <c r="B46" s="37" t="s">
        <v>290</v>
      </c>
      <c r="C46" s="6" t="s">
        <v>618</v>
      </c>
    </row>
    <row r="47" customFormat="false" ht="18" hidden="false" customHeight="true" outlineLevel="0" collapsed="false">
      <c r="B47" s="37" t="s">
        <v>290</v>
      </c>
      <c r="C47" s="6" t="s">
        <v>619</v>
      </c>
    </row>
    <row r="48" customFormat="false" ht="18" hidden="false" customHeight="true" outlineLevel="0" collapsed="false">
      <c r="B48" s="37" t="s">
        <v>290</v>
      </c>
      <c r="C48" s="6" t="s">
        <v>294</v>
      </c>
    </row>
    <row r="50" customFormat="false" ht="15" hidden="false" customHeight="false" outlineLevel="0" collapsed="false">
      <c r="B50" s="30" t="s">
        <v>295</v>
      </c>
      <c r="C50" s="30" t="s">
        <v>620</v>
      </c>
    </row>
  </sheetData>
  <mergeCells count="8">
    <mergeCell ref="B7:C7"/>
    <mergeCell ref="B12:C12"/>
    <mergeCell ref="B18:C18"/>
    <mergeCell ref="B21:C21"/>
    <mergeCell ref="B27:C27"/>
    <mergeCell ref="B33:C33"/>
    <mergeCell ref="B38:C38"/>
    <mergeCell ref="B43:C43"/>
  </mergeCells>
  <hyperlinks>
    <hyperlink ref="B1" r:id="rId1" location="'Jadwal'!A1" display="◀ kembali ke Jadwal"/>
    <hyperlink ref="C50" r:id="rId2" location="'Kuis &amp; Kunci'!A1" display="lihat sheet &quot;Kuis &amp; Kunci&quot; dan file 02_STUDY_CASE/Day08_Batch_Characteristic.m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B1: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00"/>
    <col collapsed="false" customWidth="true" hidden="false" outlineLevel="0" max="4" min="4" style="0" width="3"/>
  </cols>
  <sheetData>
    <row r="1" customFormat="false" ht="13.5" hidden="false" customHeight="true" outlineLevel="0" collapsed="false">
      <c r="B1" s="38" t="s">
        <v>222</v>
      </c>
    </row>
    <row r="2" customFormat="false" ht="30" hidden="false" customHeight="true" outlineLevel="0" collapsed="false">
      <c r="B2" s="1" t="s">
        <v>621</v>
      </c>
    </row>
    <row r="3" customFormat="false" ht="15" hidden="false" customHeight="false" outlineLevel="0" collapsed="false">
      <c r="B3" s="2" t="s">
        <v>622</v>
      </c>
    </row>
    <row r="4" customFormat="false" ht="6" hidden="false" customHeight="true" outlineLevel="0" collapsed="false">
      <c r="B4" s="3"/>
      <c r="C4" s="3"/>
    </row>
    <row r="7" customFormat="false" ht="21.75" hidden="false" customHeight="true" outlineLevel="0" collapsed="false">
      <c r="B7" s="4" t="s">
        <v>225</v>
      </c>
      <c r="C7" s="4"/>
    </row>
    <row r="8" customFormat="false" ht="18" hidden="false" customHeight="true" outlineLevel="0" collapsed="false">
      <c r="B8" s="37" t="s">
        <v>177</v>
      </c>
      <c r="C8" s="6" t="s">
        <v>623</v>
      </c>
    </row>
    <row r="9" customFormat="false" ht="31.5" hidden="false" customHeight="true" outlineLevel="0" collapsed="false">
      <c r="B9" s="37" t="s">
        <v>179</v>
      </c>
      <c r="C9" s="6" t="s">
        <v>624</v>
      </c>
    </row>
    <row r="10" customFormat="false" ht="18" hidden="false" customHeight="true" outlineLevel="0" collapsed="false">
      <c r="B10" s="37" t="s">
        <v>181</v>
      </c>
      <c r="C10" s="6" t="s">
        <v>625</v>
      </c>
    </row>
    <row r="12" customFormat="false" ht="21.75" hidden="false" customHeight="true" outlineLevel="0" collapsed="false">
      <c r="B12" s="4" t="s">
        <v>229</v>
      </c>
      <c r="C12" s="4"/>
    </row>
    <row r="13" customFormat="false" ht="18" hidden="false" customHeight="true" outlineLevel="0" collapsed="false">
      <c r="B13" s="31" t="s">
        <v>230</v>
      </c>
      <c r="C13" s="31" t="s">
        <v>231</v>
      </c>
    </row>
    <row r="14" customFormat="false" ht="31.5" hidden="false" customHeight="true" outlineLevel="0" collapsed="false">
      <c r="B14" s="32" t="s">
        <v>232</v>
      </c>
      <c r="C14" s="33" t="s">
        <v>626</v>
      </c>
    </row>
    <row r="15" customFormat="false" ht="31.5" hidden="false" customHeight="true" outlineLevel="0" collapsed="false">
      <c r="B15" s="32" t="s">
        <v>234</v>
      </c>
      <c r="C15" s="33" t="s">
        <v>627</v>
      </c>
    </row>
    <row r="16" customFormat="false" ht="18" hidden="false" customHeight="true" outlineLevel="0" collapsed="false">
      <c r="B16" s="32" t="s">
        <v>236</v>
      </c>
      <c r="C16" s="33" t="s">
        <v>628</v>
      </c>
    </row>
    <row r="18" customFormat="false" ht="21.75" hidden="false" customHeight="true" outlineLevel="0" collapsed="false">
      <c r="B18" s="4" t="s">
        <v>240</v>
      </c>
      <c r="C18" s="4"/>
    </row>
    <row r="19" customFormat="false" ht="18" hidden="false" customHeight="true" outlineLevel="0" collapsed="false">
      <c r="B19" s="31" t="s">
        <v>629</v>
      </c>
      <c r="C19" s="31" t="s">
        <v>630</v>
      </c>
    </row>
    <row r="20" customFormat="false" ht="31.5" hidden="false" customHeight="true" outlineLevel="0" collapsed="false">
      <c r="B20" s="32" t="s">
        <v>631</v>
      </c>
      <c r="C20" s="33" t="s">
        <v>632</v>
      </c>
    </row>
    <row r="21" customFormat="false" ht="31.5" hidden="false" customHeight="true" outlineLevel="0" collapsed="false">
      <c r="B21" s="32" t="s">
        <v>633</v>
      </c>
      <c r="C21" s="33" t="s">
        <v>634</v>
      </c>
    </row>
    <row r="22" customFormat="false" ht="31.5" hidden="false" customHeight="true" outlineLevel="0" collapsed="false">
      <c r="B22" s="32" t="s">
        <v>635</v>
      </c>
      <c r="C22" s="33" t="s">
        <v>636</v>
      </c>
    </row>
    <row r="23" customFormat="false" ht="31.5" hidden="false" customHeight="true" outlineLevel="0" collapsed="false">
      <c r="B23" s="32" t="s">
        <v>637</v>
      </c>
      <c r="C23" s="33" t="s">
        <v>638</v>
      </c>
    </row>
    <row r="24" customFormat="false" ht="31.5" hidden="false" customHeight="true" outlineLevel="0" collapsed="false">
      <c r="B24" s="37" t="s">
        <v>4</v>
      </c>
      <c r="C24" s="6" t="s">
        <v>639</v>
      </c>
    </row>
    <row r="25" customFormat="false" ht="18" hidden="false" customHeight="true" outlineLevel="0" collapsed="false">
      <c r="B25" s="37" t="s">
        <v>4</v>
      </c>
      <c r="C25" s="6" t="s">
        <v>640</v>
      </c>
    </row>
    <row r="26" customFormat="false" ht="18" hidden="false" customHeight="true" outlineLevel="0" collapsed="false">
      <c r="B26" s="37" t="s">
        <v>4</v>
      </c>
      <c r="C26" s="6" t="s">
        <v>641</v>
      </c>
    </row>
    <row r="28" customFormat="false" ht="21.75" hidden="false" customHeight="true" outlineLevel="0" collapsed="false">
      <c r="B28" s="4" t="s">
        <v>263</v>
      </c>
      <c r="C28" s="4"/>
    </row>
    <row r="29" customFormat="false" ht="18" hidden="false" customHeight="true" outlineLevel="0" collapsed="false">
      <c r="B29" s="31" t="s">
        <v>264</v>
      </c>
      <c r="C29" s="31" t="s">
        <v>265</v>
      </c>
    </row>
    <row r="30" customFormat="false" ht="31.5" hidden="false" customHeight="true" outlineLevel="0" collapsed="false">
      <c r="B30" s="32" t="s">
        <v>266</v>
      </c>
      <c r="C30" s="33" t="s">
        <v>642</v>
      </c>
    </row>
    <row r="31" customFormat="false" ht="31.5" hidden="false" customHeight="true" outlineLevel="0" collapsed="false">
      <c r="B31" s="32" t="s">
        <v>268</v>
      </c>
      <c r="C31" s="33" t="s">
        <v>643</v>
      </c>
    </row>
    <row r="32" customFormat="false" ht="18" hidden="false" customHeight="true" outlineLevel="0" collapsed="false">
      <c r="B32" s="34"/>
      <c r="C32" s="6" t="s">
        <v>530</v>
      </c>
    </row>
    <row r="34" customFormat="false" ht="21.75" hidden="false" customHeight="true" outlineLevel="0" collapsed="false">
      <c r="B34" s="4" t="s">
        <v>270</v>
      </c>
      <c r="C34" s="4"/>
    </row>
    <row r="35" customFormat="false" ht="73.5" hidden="false" customHeight="true" outlineLevel="0" collapsed="false">
      <c r="B35" s="34" t="s">
        <v>644</v>
      </c>
      <c r="C35" s="36" t="s">
        <v>645</v>
      </c>
    </row>
    <row r="36" customFormat="false" ht="102" hidden="false" customHeight="true" outlineLevel="0" collapsed="false">
      <c r="B36" s="34" t="s">
        <v>646</v>
      </c>
      <c r="C36" s="36" t="s">
        <v>647</v>
      </c>
    </row>
    <row r="37" customFormat="false" ht="31.5" hidden="false" customHeight="true" outlineLevel="0" collapsed="false">
      <c r="B37" s="34"/>
      <c r="C37" s="6" t="s">
        <v>648</v>
      </c>
    </row>
    <row r="38" customFormat="false" ht="102" hidden="false" customHeight="true" outlineLevel="0" collapsed="false">
      <c r="B38" s="34" t="s">
        <v>649</v>
      </c>
      <c r="C38" s="36" t="s">
        <v>650</v>
      </c>
    </row>
    <row r="39" customFormat="false" ht="18" hidden="false" customHeight="true" outlineLevel="0" collapsed="false">
      <c r="B39" s="31" t="s">
        <v>230</v>
      </c>
      <c r="C39" s="31" t="s">
        <v>395</v>
      </c>
    </row>
    <row r="40" customFormat="false" ht="18" hidden="false" customHeight="true" outlineLevel="0" collapsed="false">
      <c r="B40" s="34" t="s">
        <v>396</v>
      </c>
      <c r="C40" s="39" t="s">
        <v>651</v>
      </c>
    </row>
    <row r="41" customFormat="false" ht="31.5" hidden="false" customHeight="true" outlineLevel="0" collapsed="false">
      <c r="B41" s="34" t="s">
        <v>398</v>
      </c>
      <c r="C41" s="39" t="s">
        <v>652</v>
      </c>
    </row>
    <row r="42" customFormat="false" ht="18" hidden="false" customHeight="true" outlineLevel="0" collapsed="false">
      <c r="B42" s="34" t="s">
        <v>400</v>
      </c>
      <c r="C42" s="39" t="s">
        <v>653</v>
      </c>
    </row>
    <row r="43" customFormat="false" ht="31.5" hidden="false" customHeight="true" outlineLevel="0" collapsed="false">
      <c r="B43" s="34" t="s">
        <v>402</v>
      </c>
      <c r="C43" s="39" t="s">
        <v>654</v>
      </c>
    </row>
    <row r="44" customFormat="false" ht="18" hidden="false" customHeight="true" outlineLevel="0" collapsed="false">
      <c r="B44" s="34" t="s">
        <v>655</v>
      </c>
      <c r="C44" s="39" t="s">
        <v>656</v>
      </c>
    </row>
    <row r="45" customFormat="false" ht="18" hidden="false" customHeight="true" outlineLevel="0" collapsed="false">
      <c r="B45" s="34" t="s">
        <v>343</v>
      </c>
      <c r="C45" s="6" t="s">
        <v>404</v>
      </c>
    </row>
    <row r="47" customFormat="false" ht="21.75" hidden="false" customHeight="true" outlineLevel="0" collapsed="false">
      <c r="B47" s="4" t="s">
        <v>284</v>
      </c>
      <c r="C47" s="4"/>
    </row>
    <row r="48" customFormat="false" ht="18" hidden="false" customHeight="true" outlineLevel="0" collapsed="false">
      <c r="B48" s="37" t="s">
        <v>177</v>
      </c>
      <c r="C48" s="6" t="s">
        <v>657</v>
      </c>
    </row>
    <row r="49" customFormat="false" ht="18" hidden="false" customHeight="true" outlineLevel="0" collapsed="false">
      <c r="B49" s="37" t="s">
        <v>179</v>
      </c>
      <c r="C49" s="6" t="s">
        <v>658</v>
      </c>
    </row>
    <row r="50" customFormat="false" ht="18" hidden="false" customHeight="true" outlineLevel="0" collapsed="false">
      <c r="B50" s="37" t="s">
        <v>181</v>
      </c>
      <c r="C50" s="6" t="s">
        <v>659</v>
      </c>
    </row>
    <row r="51" customFormat="false" ht="18" hidden="false" customHeight="true" outlineLevel="0" collapsed="false">
      <c r="B51" s="37" t="s">
        <v>183</v>
      </c>
      <c r="C51" s="6" t="s">
        <v>288</v>
      </c>
    </row>
    <row r="53" customFormat="false" ht="21.75" hidden="false" customHeight="true" outlineLevel="0" collapsed="false">
      <c r="B53" s="4" t="s">
        <v>289</v>
      </c>
      <c r="C53" s="4"/>
    </row>
    <row r="54" customFormat="false" ht="18" hidden="false" customHeight="true" outlineLevel="0" collapsed="false">
      <c r="B54" s="37" t="s">
        <v>290</v>
      </c>
      <c r="C54" s="6" t="s">
        <v>660</v>
      </c>
    </row>
    <row r="55" customFormat="false" ht="18" hidden="false" customHeight="true" outlineLevel="0" collapsed="false">
      <c r="B55" s="37" t="s">
        <v>290</v>
      </c>
      <c r="C55" s="6" t="s">
        <v>661</v>
      </c>
    </row>
    <row r="56" customFormat="false" ht="18" hidden="false" customHeight="true" outlineLevel="0" collapsed="false">
      <c r="B56" s="37" t="s">
        <v>290</v>
      </c>
      <c r="C56" s="6" t="s">
        <v>662</v>
      </c>
    </row>
    <row r="57" customFormat="false" ht="18" hidden="false" customHeight="true" outlineLevel="0" collapsed="false">
      <c r="B57" s="37" t="s">
        <v>290</v>
      </c>
      <c r="C57" s="6" t="s">
        <v>663</v>
      </c>
    </row>
    <row r="58" customFormat="false" ht="18" hidden="false" customHeight="true" outlineLevel="0" collapsed="false">
      <c r="B58" s="37" t="s">
        <v>290</v>
      </c>
      <c r="C58" s="6" t="s">
        <v>288</v>
      </c>
    </row>
    <row r="60" customFormat="false" ht="15" hidden="false" customHeight="false" outlineLevel="0" collapsed="false">
      <c r="B60" s="30" t="s">
        <v>295</v>
      </c>
      <c r="C60" s="30" t="s">
        <v>664</v>
      </c>
    </row>
  </sheetData>
  <mergeCells count="7">
    <mergeCell ref="B7:C7"/>
    <mergeCell ref="B12:C12"/>
    <mergeCell ref="B18:C18"/>
    <mergeCell ref="B28:C28"/>
    <mergeCell ref="B34:C34"/>
    <mergeCell ref="B47:C47"/>
    <mergeCell ref="B53:C53"/>
  </mergeCells>
  <hyperlinks>
    <hyperlink ref="B1" r:id="rId1" location="'Jadwal'!A1" display="◀ kembali ke Jadwal"/>
    <hyperlink ref="C60" r:id="rId2" location="'Kuis &amp; Kunci'!A1" display="lihat sheet &quot;Kuis &amp; Kunci&quot; dan file 02_STUDY_CASE/Day09_Aplikasi_Z_Tabel_Lock_Log.m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B1:C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00"/>
    <col collapsed="false" customWidth="true" hidden="false" outlineLevel="0" max="4" min="4" style="0" width="3"/>
  </cols>
  <sheetData>
    <row r="1" customFormat="false" ht="13.5" hidden="false" customHeight="true" outlineLevel="0" collapsed="false">
      <c r="B1" s="38" t="s">
        <v>222</v>
      </c>
    </row>
    <row r="2" customFormat="false" ht="30" hidden="false" customHeight="true" outlineLevel="0" collapsed="false">
      <c r="B2" s="1" t="s">
        <v>665</v>
      </c>
    </row>
    <row r="3" customFormat="false" ht="15" hidden="false" customHeight="false" outlineLevel="0" collapsed="false">
      <c r="B3" s="2" t="s">
        <v>666</v>
      </c>
    </row>
    <row r="4" customFormat="false" ht="6" hidden="false" customHeight="true" outlineLevel="0" collapsed="false">
      <c r="B4" s="3"/>
      <c r="C4" s="3"/>
    </row>
    <row r="7" customFormat="false" ht="21.75" hidden="false" customHeight="true" outlineLevel="0" collapsed="false">
      <c r="B7" s="4" t="s">
        <v>225</v>
      </c>
      <c r="C7" s="4"/>
    </row>
    <row r="8" customFormat="false" ht="18" hidden="false" customHeight="true" outlineLevel="0" collapsed="false">
      <c r="B8" s="37" t="s">
        <v>177</v>
      </c>
      <c r="C8" s="6" t="s">
        <v>667</v>
      </c>
    </row>
    <row r="9" customFormat="false" ht="31.5" hidden="false" customHeight="true" outlineLevel="0" collapsed="false">
      <c r="B9" s="37" t="s">
        <v>179</v>
      </c>
      <c r="C9" s="6" t="s">
        <v>668</v>
      </c>
    </row>
    <row r="10" customFormat="false" ht="18" hidden="false" customHeight="true" outlineLevel="0" collapsed="false">
      <c r="B10" s="37" t="s">
        <v>181</v>
      </c>
      <c r="C10" s="6" t="s">
        <v>669</v>
      </c>
    </row>
    <row r="12" customFormat="false" ht="21.75" hidden="false" customHeight="true" outlineLevel="0" collapsed="false">
      <c r="B12" s="4" t="s">
        <v>229</v>
      </c>
      <c r="C12" s="4"/>
    </row>
    <row r="13" customFormat="false" ht="18" hidden="false" customHeight="true" outlineLevel="0" collapsed="false">
      <c r="B13" s="31" t="s">
        <v>230</v>
      </c>
      <c r="C13" s="31" t="s">
        <v>231</v>
      </c>
    </row>
    <row r="14" customFormat="false" ht="18" hidden="false" customHeight="true" outlineLevel="0" collapsed="false">
      <c r="B14" s="32" t="s">
        <v>232</v>
      </c>
      <c r="C14" s="33" t="s">
        <v>670</v>
      </c>
    </row>
    <row r="15" customFormat="false" ht="18" hidden="false" customHeight="true" outlineLevel="0" collapsed="false">
      <c r="B15" s="32" t="s">
        <v>234</v>
      </c>
      <c r="C15" s="33" t="s">
        <v>671</v>
      </c>
    </row>
    <row r="16" customFormat="false" ht="18" hidden="false" customHeight="true" outlineLevel="0" collapsed="false">
      <c r="B16" s="32" t="s">
        <v>236</v>
      </c>
      <c r="C16" s="33" t="s">
        <v>672</v>
      </c>
    </row>
    <row r="18" customFormat="false" ht="21.75" hidden="false" customHeight="true" outlineLevel="0" collapsed="false">
      <c r="B18" s="4" t="s">
        <v>238</v>
      </c>
      <c r="C18" s="4"/>
    </row>
    <row r="19" customFormat="false" ht="31.5" hidden="false" customHeight="true" outlineLevel="0" collapsed="false">
      <c r="B19" s="34"/>
      <c r="C19" s="6" t="s">
        <v>673</v>
      </c>
    </row>
    <row r="20" customFormat="false" ht="18" hidden="false" customHeight="true" outlineLevel="0" collapsed="false">
      <c r="B20" s="37" t="s">
        <v>4</v>
      </c>
      <c r="C20" s="6" t="s">
        <v>674</v>
      </c>
    </row>
    <row r="21" customFormat="false" ht="18" hidden="false" customHeight="true" outlineLevel="0" collapsed="false">
      <c r="B21" s="37" t="s">
        <v>4</v>
      </c>
      <c r="C21" s="6" t="s">
        <v>675</v>
      </c>
    </row>
    <row r="22" customFormat="false" ht="18" hidden="false" customHeight="true" outlineLevel="0" collapsed="false">
      <c r="B22" s="34"/>
      <c r="C22" s="6" t="s">
        <v>676</v>
      </c>
    </row>
    <row r="24" customFormat="false" ht="21.75" hidden="false" customHeight="true" outlineLevel="0" collapsed="false">
      <c r="B24" s="4" t="s">
        <v>240</v>
      </c>
      <c r="C24" s="4"/>
    </row>
    <row r="25" customFormat="false" ht="18" hidden="false" customHeight="true" outlineLevel="0" collapsed="false">
      <c r="B25" s="31" t="s">
        <v>677</v>
      </c>
      <c r="C25" s="31" t="s">
        <v>362</v>
      </c>
    </row>
    <row r="26" customFormat="false" ht="18" hidden="false" customHeight="true" outlineLevel="0" collapsed="false">
      <c r="B26" s="32" t="s">
        <v>678</v>
      </c>
      <c r="C26" s="33" t="s">
        <v>679</v>
      </c>
    </row>
    <row r="27" customFormat="false" ht="18" hidden="false" customHeight="true" outlineLevel="0" collapsed="false">
      <c r="B27" s="32" t="s">
        <v>680</v>
      </c>
      <c r="C27" s="33" t="s">
        <v>681</v>
      </c>
    </row>
    <row r="28" customFormat="false" ht="18" hidden="false" customHeight="true" outlineLevel="0" collapsed="false">
      <c r="B28" s="32" t="s">
        <v>682</v>
      </c>
      <c r="C28" s="33" t="s">
        <v>683</v>
      </c>
    </row>
    <row r="29" customFormat="false" ht="18" hidden="false" customHeight="true" outlineLevel="0" collapsed="false">
      <c r="B29" s="32" t="s">
        <v>684</v>
      </c>
      <c r="C29" s="33" t="s">
        <v>685</v>
      </c>
    </row>
    <row r="30" customFormat="false" ht="18" hidden="false" customHeight="true" outlineLevel="0" collapsed="false">
      <c r="B30" s="37" t="s">
        <v>4</v>
      </c>
      <c r="C30" s="6" t="s">
        <v>686</v>
      </c>
    </row>
    <row r="31" customFormat="false" ht="31.5" hidden="false" customHeight="true" outlineLevel="0" collapsed="false">
      <c r="B31" s="37" t="s">
        <v>4</v>
      </c>
      <c r="C31" s="6" t="s">
        <v>687</v>
      </c>
    </row>
    <row r="32" customFormat="false" ht="31.5" hidden="false" customHeight="true" outlineLevel="0" collapsed="false">
      <c r="B32" s="37" t="s">
        <v>4</v>
      </c>
      <c r="C32" s="6" t="s">
        <v>688</v>
      </c>
    </row>
    <row r="34" customFormat="false" ht="21.75" hidden="false" customHeight="true" outlineLevel="0" collapsed="false">
      <c r="B34" s="4" t="s">
        <v>250</v>
      </c>
      <c r="C34" s="4"/>
    </row>
    <row r="35" customFormat="false" ht="18" hidden="false" customHeight="true" outlineLevel="0" collapsed="false">
      <c r="B35" s="31" t="s">
        <v>251</v>
      </c>
      <c r="C35" s="31" t="s">
        <v>252</v>
      </c>
    </row>
    <row r="36" customFormat="false" ht="18" hidden="false" customHeight="true" outlineLevel="0" collapsed="false">
      <c r="B36" s="32" t="s">
        <v>253</v>
      </c>
      <c r="C36" s="33" t="s">
        <v>689</v>
      </c>
    </row>
    <row r="37" customFormat="false" ht="45.75" hidden="false" customHeight="true" outlineLevel="0" collapsed="false">
      <c r="B37" s="32" t="s">
        <v>255</v>
      </c>
      <c r="C37" s="33" t="s">
        <v>690</v>
      </c>
    </row>
    <row r="38" customFormat="false" ht="31.5" hidden="false" customHeight="true" outlineLevel="0" collapsed="false">
      <c r="B38" s="32" t="s">
        <v>257</v>
      </c>
      <c r="C38" s="33" t="s">
        <v>691</v>
      </c>
    </row>
    <row r="39" customFormat="false" ht="18" hidden="false" customHeight="true" outlineLevel="0" collapsed="false">
      <c r="B39" s="32" t="s">
        <v>526</v>
      </c>
      <c r="C39" s="33" t="s">
        <v>692</v>
      </c>
    </row>
    <row r="41" customFormat="false" ht="21.75" hidden="false" customHeight="true" outlineLevel="0" collapsed="false">
      <c r="B41" s="4" t="s">
        <v>263</v>
      </c>
      <c r="C41" s="4"/>
    </row>
    <row r="42" customFormat="false" ht="18" hidden="false" customHeight="true" outlineLevel="0" collapsed="false">
      <c r="B42" s="31" t="s">
        <v>264</v>
      </c>
      <c r="C42" s="31" t="s">
        <v>265</v>
      </c>
    </row>
    <row r="43" customFormat="false" ht="18" hidden="false" customHeight="true" outlineLevel="0" collapsed="false">
      <c r="B43" s="32" t="s">
        <v>266</v>
      </c>
      <c r="C43" s="33" t="s">
        <v>693</v>
      </c>
    </row>
    <row r="44" customFormat="false" ht="18" hidden="false" customHeight="true" outlineLevel="0" collapsed="false">
      <c r="B44" s="32" t="s">
        <v>268</v>
      </c>
      <c r="C44" s="33" t="s">
        <v>694</v>
      </c>
    </row>
    <row r="45" customFormat="false" ht="18" hidden="false" customHeight="true" outlineLevel="0" collapsed="false">
      <c r="B45" s="34"/>
      <c r="C45" s="6" t="s">
        <v>530</v>
      </c>
    </row>
    <row r="47" customFormat="false" ht="21.75" hidden="false" customHeight="true" outlineLevel="0" collapsed="false">
      <c r="B47" s="4" t="s">
        <v>270</v>
      </c>
      <c r="C47" s="4"/>
    </row>
    <row r="48" customFormat="false" ht="73.5" hidden="false" customHeight="true" outlineLevel="0" collapsed="false">
      <c r="B48" s="34" t="s">
        <v>695</v>
      </c>
      <c r="C48" s="36" t="s">
        <v>696</v>
      </c>
    </row>
    <row r="49" customFormat="false" ht="73.5" hidden="false" customHeight="true" outlineLevel="0" collapsed="false">
      <c r="B49" s="34" t="s">
        <v>697</v>
      </c>
      <c r="C49" s="36" t="s">
        <v>698</v>
      </c>
    </row>
    <row r="50" customFormat="false" ht="73.5" hidden="false" customHeight="true" outlineLevel="0" collapsed="false">
      <c r="B50" s="34" t="s">
        <v>391</v>
      </c>
      <c r="C50" s="36" t="s">
        <v>699</v>
      </c>
    </row>
    <row r="51" customFormat="false" ht="45.75" hidden="false" customHeight="true" outlineLevel="0" collapsed="false">
      <c r="B51" s="34" t="s">
        <v>700</v>
      </c>
      <c r="C51" s="36" t="s">
        <v>701</v>
      </c>
    </row>
    <row r="52" customFormat="false" ht="102" hidden="false" customHeight="true" outlineLevel="0" collapsed="false">
      <c r="B52" s="34" t="s">
        <v>702</v>
      </c>
      <c r="C52" s="36" t="s">
        <v>703</v>
      </c>
    </row>
    <row r="53" customFormat="false" ht="18" hidden="false" customHeight="true" outlineLevel="0" collapsed="false">
      <c r="B53" s="34" t="s">
        <v>282</v>
      </c>
      <c r="C53" s="6" t="s">
        <v>404</v>
      </c>
    </row>
    <row r="55" customFormat="false" ht="21.75" hidden="false" customHeight="true" outlineLevel="0" collapsed="false">
      <c r="B55" s="4" t="s">
        <v>284</v>
      </c>
      <c r="C55" s="4"/>
    </row>
    <row r="56" customFormat="false" ht="18" hidden="false" customHeight="true" outlineLevel="0" collapsed="false">
      <c r="B56" s="34"/>
      <c r="C56" s="6" t="s">
        <v>704</v>
      </c>
    </row>
    <row r="57" customFormat="false" ht="18" hidden="false" customHeight="true" outlineLevel="0" collapsed="false">
      <c r="B57" s="37" t="s">
        <v>177</v>
      </c>
      <c r="C57" s="6" t="s">
        <v>705</v>
      </c>
    </row>
    <row r="58" customFormat="false" ht="18" hidden="false" customHeight="true" outlineLevel="0" collapsed="false">
      <c r="B58" s="37" t="s">
        <v>179</v>
      </c>
      <c r="C58" s="6" t="s">
        <v>706</v>
      </c>
    </row>
    <row r="59" customFormat="false" ht="18" hidden="false" customHeight="true" outlineLevel="0" collapsed="false">
      <c r="B59" s="37" t="s">
        <v>181</v>
      </c>
      <c r="C59" s="6" t="s">
        <v>707</v>
      </c>
    </row>
    <row r="60" customFormat="false" ht="18" hidden="false" customHeight="true" outlineLevel="0" collapsed="false">
      <c r="B60" s="37" t="s">
        <v>183</v>
      </c>
      <c r="C60" s="6" t="s">
        <v>708</v>
      </c>
    </row>
    <row r="61" customFormat="false" ht="18" hidden="false" customHeight="true" outlineLevel="0" collapsed="false">
      <c r="B61" s="37" t="s">
        <v>185</v>
      </c>
      <c r="C61" s="6" t="s">
        <v>709</v>
      </c>
    </row>
    <row r="63" customFormat="false" ht="21.75" hidden="false" customHeight="true" outlineLevel="0" collapsed="false">
      <c r="B63" s="4" t="s">
        <v>289</v>
      </c>
      <c r="C63" s="4"/>
    </row>
    <row r="64" customFormat="false" ht="18" hidden="false" customHeight="true" outlineLevel="0" collapsed="false">
      <c r="B64" s="37" t="s">
        <v>290</v>
      </c>
      <c r="C64" s="6" t="s">
        <v>710</v>
      </c>
    </row>
    <row r="65" customFormat="false" ht="18" hidden="false" customHeight="true" outlineLevel="0" collapsed="false">
      <c r="B65" s="37" t="s">
        <v>290</v>
      </c>
      <c r="C65" s="6" t="s">
        <v>711</v>
      </c>
    </row>
    <row r="66" customFormat="false" ht="18" hidden="false" customHeight="true" outlineLevel="0" collapsed="false">
      <c r="B66" s="37" t="s">
        <v>290</v>
      </c>
      <c r="C66" s="6" t="s">
        <v>712</v>
      </c>
    </row>
    <row r="67" customFormat="false" ht="18" hidden="false" customHeight="true" outlineLevel="0" collapsed="false">
      <c r="B67" s="37" t="s">
        <v>290</v>
      </c>
      <c r="C67" s="6" t="s">
        <v>713</v>
      </c>
    </row>
    <row r="68" customFormat="false" ht="18" hidden="false" customHeight="true" outlineLevel="0" collapsed="false">
      <c r="B68" s="37" t="s">
        <v>290</v>
      </c>
      <c r="C68" s="6" t="s">
        <v>294</v>
      </c>
    </row>
    <row r="70" customFormat="false" ht="15" hidden="false" customHeight="false" outlineLevel="0" collapsed="false">
      <c r="B70" s="30" t="s">
        <v>295</v>
      </c>
      <c r="C70" s="30" t="s">
        <v>714</v>
      </c>
    </row>
  </sheetData>
  <mergeCells count="9">
    <mergeCell ref="B7:C7"/>
    <mergeCell ref="B12:C12"/>
    <mergeCell ref="B18:C18"/>
    <mergeCell ref="B24:C24"/>
    <mergeCell ref="B34:C34"/>
    <mergeCell ref="B41:C41"/>
    <mergeCell ref="B47:C47"/>
    <mergeCell ref="B55:C55"/>
    <mergeCell ref="B63:C63"/>
  </mergeCells>
  <hyperlinks>
    <hyperlink ref="B1" r:id="rId1" location="'Jadwal'!A1" display="◀ kembali ke Jadwal"/>
    <hyperlink ref="C70" r:id="rId2" location="'Kuis &amp; Kunci'!A1" display="lihat sheet &quot;Kuis &amp; Kunci&quot; dan file 02_STUDY_CASE/Day10_FICO_Upload_Faktur.m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B1:C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00"/>
    <col collapsed="false" customWidth="true" hidden="false" outlineLevel="0" max="4" min="4" style="0" width="3"/>
  </cols>
  <sheetData>
    <row r="1" customFormat="false" ht="13.5" hidden="false" customHeight="true" outlineLevel="0" collapsed="false">
      <c r="B1" s="38" t="s">
        <v>222</v>
      </c>
    </row>
    <row r="2" customFormat="false" ht="30" hidden="false" customHeight="true" outlineLevel="0" collapsed="false">
      <c r="B2" s="1" t="s">
        <v>715</v>
      </c>
    </row>
    <row r="3" customFormat="false" ht="15" hidden="false" customHeight="false" outlineLevel="0" collapsed="false">
      <c r="B3" s="2" t="s">
        <v>716</v>
      </c>
    </row>
    <row r="4" customFormat="false" ht="6" hidden="false" customHeight="true" outlineLevel="0" collapsed="false">
      <c r="B4" s="3"/>
      <c r="C4" s="3"/>
    </row>
    <row r="7" customFormat="false" ht="21.75" hidden="false" customHeight="true" outlineLevel="0" collapsed="false">
      <c r="B7" s="4" t="s">
        <v>225</v>
      </c>
      <c r="C7" s="4"/>
    </row>
    <row r="8" customFormat="false" ht="18" hidden="false" customHeight="true" outlineLevel="0" collapsed="false">
      <c r="B8" s="37" t="s">
        <v>177</v>
      </c>
      <c r="C8" s="6" t="s">
        <v>717</v>
      </c>
    </row>
    <row r="9" customFormat="false" ht="31.5" hidden="false" customHeight="true" outlineLevel="0" collapsed="false">
      <c r="B9" s="37" t="s">
        <v>179</v>
      </c>
      <c r="C9" s="6" t="s">
        <v>718</v>
      </c>
    </row>
    <row r="10" customFormat="false" ht="18" hidden="false" customHeight="true" outlineLevel="0" collapsed="false">
      <c r="B10" s="37" t="s">
        <v>181</v>
      </c>
      <c r="C10" s="6" t="s">
        <v>719</v>
      </c>
    </row>
    <row r="12" customFormat="false" ht="21.75" hidden="false" customHeight="true" outlineLevel="0" collapsed="false">
      <c r="B12" s="4" t="s">
        <v>229</v>
      </c>
      <c r="C12" s="4"/>
    </row>
    <row r="13" customFormat="false" ht="18" hidden="false" customHeight="true" outlineLevel="0" collapsed="false">
      <c r="B13" s="31" t="s">
        <v>230</v>
      </c>
      <c r="C13" s="31" t="s">
        <v>231</v>
      </c>
    </row>
    <row r="14" customFormat="false" ht="31.5" hidden="false" customHeight="true" outlineLevel="0" collapsed="false">
      <c r="B14" s="32" t="s">
        <v>232</v>
      </c>
      <c r="C14" s="33" t="s">
        <v>720</v>
      </c>
    </row>
    <row r="15" customFormat="false" ht="18" hidden="false" customHeight="true" outlineLevel="0" collapsed="false">
      <c r="B15" s="32" t="s">
        <v>234</v>
      </c>
      <c r="C15" s="33" t="s">
        <v>721</v>
      </c>
    </row>
    <row r="16" customFormat="false" ht="18" hidden="false" customHeight="true" outlineLevel="0" collapsed="false">
      <c r="B16" s="32" t="s">
        <v>236</v>
      </c>
      <c r="C16" s="33" t="s">
        <v>722</v>
      </c>
    </row>
    <row r="18" customFormat="false" ht="21.75" hidden="false" customHeight="true" outlineLevel="0" collapsed="false">
      <c r="B18" s="4" t="s">
        <v>238</v>
      </c>
      <c r="C18" s="4"/>
    </row>
    <row r="19" customFormat="false" ht="60" hidden="false" customHeight="true" outlineLevel="0" collapsed="false">
      <c r="B19" s="34"/>
      <c r="C19" s="6" t="s">
        <v>723</v>
      </c>
    </row>
    <row r="21" customFormat="false" ht="21.75" hidden="false" customHeight="true" outlineLevel="0" collapsed="false">
      <c r="B21" s="4" t="s">
        <v>240</v>
      </c>
      <c r="C21" s="4"/>
    </row>
    <row r="22" customFormat="false" ht="18" hidden="false" customHeight="true" outlineLevel="0" collapsed="false">
      <c r="B22" s="31" t="s">
        <v>242</v>
      </c>
      <c r="C22" s="31" t="s">
        <v>243</v>
      </c>
    </row>
    <row r="23" customFormat="false" ht="31.5" hidden="false" customHeight="true" outlineLevel="0" collapsed="false">
      <c r="B23" s="32" t="s">
        <v>724</v>
      </c>
      <c r="C23" s="33" t="s">
        <v>725</v>
      </c>
    </row>
    <row r="24" customFormat="false" ht="31.5" hidden="false" customHeight="true" outlineLevel="0" collapsed="false">
      <c r="B24" s="32" t="s">
        <v>726</v>
      </c>
      <c r="C24" s="33" t="s">
        <v>727</v>
      </c>
    </row>
    <row r="25" customFormat="false" ht="31.5" hidden="false" customHeight="true" outlineLevel="0" collapsed="false">
      <c r="B25" s="32" t="s">
        <v>728</v>
      </c>
      <c r="C25" s="33" t="s">
        <v>729</v>
      </c>
    </row>
    <row r="26" customFormat="false" ht="31.5" hidden="false" customHeight="true" outlineLevel="0" collapsed="false">
      <c r="B26" s="32" t="s">
        <v>730</v>
      </c>
      <c r="C26" s="33" t="s">
        <v>731</v>
      </c>
    </row>
    <row r="27" customFormat="false" ht="18" hidden="false" customHeight="true" outlineLevel="0" collapsed="false">
      <c r="B27" s="37" t="s">
        <v>4</v>
      </c>
      <c r="C27" s="6" t="s">
        <v>732</v>
      </c>
    </row>
    <row r="28" customFormat="false" ht="31.5" hidden="false" customHeight="true" outlineLevel="0" collapsed="false">
      <c r="B28" s="37" t="s">
        <v>4</v>
      </c>
      <c r="C28" s="6" t="s">
        <v>733</v>
      </c>
    </row>
    <row r="29" customFormat="false" ht="18" hidden="false" customHeight="true" outlineLevel="0" collapsed="false">
      <c r="B29" s="37" t="s">
        <v>4</v>
      </c>
      <c r="C29" s="6" t="s">
        <v>734</v>
      </c>
    </row>
    <row r="30" customFormat="false" ht="31.5" hidden="false" customHeight="true" outlineLevel="0" collapsed="false">
      <c r="B30" s="37" t="s">
        <v>4</v>
      </c>
      <c r="C30" s="6" t="s">
        <v>735</v>
      </c>
    </row>
    <row r="32" customFormat="false" ht="21.75" hidden="false" customHeight="true" outlineLevel="0" collapsed="false">
      <c r="B32" s="4" t="s">
        <v>250</v>
      </c>
      <c r="C32" s="4"/>
    </row>
    <row r="33" customFormat="false" ht="18" hidden="false" customHeight="true" outlineLevel="0" collapsed="false">
      <c r="B33" s="31" t="s">
        <v>251</v>
      </c>
      <c r="C33" s="31" t="s">
        <v>252</v>
      </c>
    </row>
    <row r="34" customFormat="false" ht="31.5" hidden="false" customHeight="true" outlineLevel="0" collapsed="false">
      <c r="B34" s="32" t="s">
        <v>253</v>
      </c>
      <c r="C34" s="33" t="s">
        <v>736</v>
      </c>
    </row>
    <row r="35" customFormat="false" ht="31.5" hidden="false" customHeight="true" outlineLevel="0" collapsed="false">
      <c r="B35" s="32" t="s">
        <v>737</v>
      </c>
      <c r="C35" s="33" t="s">
        <v>738</v>
      </c>
    </row>
    <row r="36" customFormat="false" ht="18" hidden="false" customHeight="true" outlineLevel="0" collapsed="false">
      <c r="B36" s="32" t="s">
        <v>739</v>
      </c>
      <c r="C36" s="33" t="s">
        <v>740</v>
      </c>
    </row>
    <row r="37" customFormat="false" ht="31.5" hidden="false" customHeight="true" outlineLevel="0" collapsed="false">
      <c r="B37" s="32" t="s">
        <v>379</v>
      </c>
      <c r="C37" s="33" t="s">
        <v>741</v>
      </c>
    </row>
    <row r="38" customFormat="false" ht="18" hidden="false" customHeight="true" outlineLevel="0" collapsed="false">
      <c r="B38" s="32" t="s">
        <v>255</v>
      </c>
      <c r="C38" s="33" t="s">
        <v>742</v>
      </c>
    </row>
    <row r="39" customFormat="false" ht="18" hidden="false" customHeight="true" outlineLevel="0" collapsed="false">
      <c r="B39" s="32" t="s">
        <v>257</v>
      </c>
      <c r="C39" s="33" t="s">
        <v>743</v>
      </c>
    </row>
    <row r="41" customFormat="false" ht="21.75" hidden="false" customHeight="true" outlineLevel="0" collapsed="false">
      <c r="B41" s="4" t="s">
        <v>263</v>
      </c>
      <c r="C41" s="4"/>
    </row>
    <row r="42" customFormat="false" ht="18" hidden="false" customHeight="true" outlineLevel="0" collapsed="false">
      <c r="B42" s="31" t="s">
        <v>264</v>
      </c>
      <c r="C42" s="31" t="s">
        <v>265</v>
      </c>
    </row>
    <row r="43" customFormat="false" ht="31.5" hidden="false" customHeight="true" outlineLevel="0" collapsed="false">
      <c r="B43" s="32" t="s">
        <v>266</v>
      </c>
      <c r="C43" s="33" t="s">
        <v>744</v>
      </c>
    </row>
    <row r="44" customFormat="false" ht="31.5" hidden="false" customHeight="true" outlineLevel="0" collapsed="false">
      <c r="B44" s="32" t="s">
        <v>268</v>
      </c>
      <c r="C44" s="33" t="s">
        <v>745</v>
      </c>
    </row>
    <row r="45" customFormat="false" ht="18" hidden="false" customHeight="true" outlineLevel="0" collapsed="false">
      <c r="B45" s="34"/>
      <c r="C45" s="6" t="s">
        <v>530</v>
      </c>
    </row>
    <row r="47" customFormat="false" ht="21.75" hidden="false" customHeight="true" outlineLevel="0" collapsed="false">
      <c r="B47" s="4" t="s">
        <v>270</v>
      </c>
      <c r="C47" s="4"/>
    </row>
    <row r="48" customFormat="false" ht="73.5" hidden="false" customHeight="true" outlineLevel="0" collapsed="false">
      <c r="B48" s="34" t="s">
        <v>271</v>
      </c>
      <c r="C48" s="36" t="s">
        <v>746</v>
      </c>
    </row>
    <row r="49" customFormat="false" ht="73.5" hidden="false" customHeight="true" outlineLevel="0" collapsed="false">
      <c r="B49" s="34" t="s">
        <v>747</v>
      </c>
      <c r="C49" s="36" t="s">
        <v>748</v>
      </c>
    </row>
    <row r="50" customFormat="false" ht="31.5" hidden="false" customHeight="true" outlineLevel="0" collapsed="false">
      <c r="B50" s="34" t="s">
        <v>749</v>
      </c>
      <c r="C50" s="6" t="s">
        <v>750</v>
      </c>
    </row>
    <row r="51" customFormat="false" ht="45.75" hidden="false" customHeight="true" outlineLevel="0" collapsed="false">
      <c r="B51" s="34"/>
      <c r="C51" s="36" t="s">
        <v>751</v>
      </c>
    </row>
    <row r="52" customFormat="false" ht="18" hidden="false" customHeight="true" outlineLevel="0" collapsed="false">
      <c r="B52" s="31" t="s">
        <v>230</v>
      </c>
      <c r="C52" s="31" t="s">
        <v>395</v>
      </c>
    </row>
    <row r="53" customFormat="false" ht="18" hidden="false" customHeight="true" outlineLevel="0" collapsed="false">
      <c r="B53" s="34" t="s">
        <v>396</v>
      </c>
      <c r="C53" s="39" t="s">
        <v>752</v>
      </c>
    </row>
    <row r="54" customFormat="false" ht="18" hidden="false" customHeight="true" outlineLevel="0" collapsed="false">
      <c r="B54" s="34" t="s">
        <v>398</v>
      </c>
      <c r="C54" s="39" t="s">
        <v>753</v>
      </c>
    </row>
    <row r="55" customFormat="false" ht="18" hidden="false" customHeight="true" outlineLevel="0" collapsed="false">
      <c r="B55" s="34" t="s">
        <v>400</v>
      </c>
      <c r="C55" s="39" t="s">
        <v>754</v>
      </c>
    </row>
    <row r="56" customFormat="false" ht="18" hidden="false" customHeight="true" outlineLevel="0" collapsed="false">
      <c r="B56" s="34" t="s">
        <v>402</v>
      </c>
      <c r="C56" s="39" t="s">
        <v>755</v>
      </c>
    </row>
    <row r="57" customFormat="false" ht="18" hidden="false" customHeight="true" outlineLevel="0" collapsed="false">
      <c r="B57" s="34" t="s">
        <v>343</v>
      </c>
      <c r="C57" s="6" t="s">
        <v>404</v>
      </c>
    </row>
    <row r="59" customFormat="false" ht="21.75" hidden="false" customHeight="true" outlineLevel="0" collapsed="false">
      <c r="B59" s="4" t="s">
        <v>284</v>
      </c>
      <c r="C59" s="4"/>
    </row>
    <row r="60" customFormat="false" ht="18" hidden="false" customHeight="true" outlineLevel="0" collapsed="false">
      <c r="B60" s="37" t="s">
        <v>177</v>
      </c>
      <c r="C60" s="6" t="s">
        <v>442</v>
      </c>
    </row>
    <row r="61" customFormat="false" ht="18" hidden="false" customHeight="true" outlineLevel="0" collapsed="false">
      <c r="B61" s="37" t="s">
        <v>179</v>
      </c>
      <c r="C61" s="6" t="s">
        <v>756</v>
      </c>
    </row>
    <row r="62" customFormat="false" ht="18" hidden="false" customHeight="true" outlineLevel="0" collapsed="false">
      <c r="B62" s="37" t="s">
        <v>181</v>
      </c>
      <c r="C62" s="6" t="s">
        <v>288</v>
      </c>
    </row>
    <row r="64" customFormat="false" ht="21.75" hidden="false" customHeight="true" outlineLevel="0" collapsed="false">
      <c r="B64" s="4" t="s">
        <v>289</v>
      </c>
      <c r="C64" s="4"/>
    </row>
    <row r="65" customFormat="false" ht="18" hidden="false" customHeight="true" outlineLevel="0" collapsed="false">
      <c r="B65" s="37" t="s">
        <v>290</v>
      </c>
      <c r="C65" s="6" t="s">
        <v>757</v>
      </c>
    </row>
    <row r="66" customFormat="false" ht="18" hidden="false" customHeight="true" outlineLevel="0" collapsed="false">
      <c r="B66" s="37" t="s">
        <v>290</v>
      </c>
      <c r="C66" s="6" t="s">
        <v>758</v>
      </c>
    </row>
    <row r="67" customFormat="false" ht="18" hidden="false" customHeight="true" outlineLevel="0" collapsed="false">
      <c r="B67" s="37" t="s">
        <v>290</v>
      </c>
      <c r="C67" s="6" t="s">
        <v>759</v>
      </c>
    </row>
    <row r="68" customFormat="false" ht="18" hidden="false" customHeight="true" outlineLevel="0" collapsed="false">
      <c r="B68" s="37" t="s">
        <v>290</v>
      </c>
      <c r="C68" s="6" t="s">
        <v>288</v>
      </c>
    </row>
    <row r="70" customFormat="false" ht="15" hidden="false" customHeight="false" outlineLevel="0" collapsed="false">
      <c r="B70" s="30" t="s">
        <v>295</v>
      </c>
      <c r="C70" s="30" t="s">
        <v>760</v>
      </c>
    </row>
  </sheetData>
  <mergeCells count="9">
    <mergeCell ref="B7:C7"/>
    <mergeCell ref="B12:C12"/>
    <mergeCell ref="B18:C18"/>
    <mergeCell ref="B21:C21"/>
    <mergeCell ref="B32:C32"/>
    <mergeCell ref="B41:C41"/>
    <mergeCell ref="B47:C47"/>
    <mergeCell ref="B59:C59"/>
    <mergeCell ref="B64:C64"/>
  </mergeCells>
  <hyperlinks>
    <hyperlink ref="B1" r:id="rId1" location="'Jadwal'!A1" display="◀ kembali ke Jadwal"/>
    <hyperlink ref="C70" r:id="rId2" location="'Kuis &amp; Kunci'!A1" display="lihat sheet &quot;Kuis &amp; Kunci&quot; dan file 02_STUDY_CASE/Day11_QM_Pending_Lot_Mass_UD.m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1:C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00"/>
    <col collapsed="false" customWidth="true" hidden="false" outlineLevel="0" max="4" min="4" style="0" width="3"/>
  </cols>
  <sheetData>
    <row r="1" customFormat="false" ht="13.5" hidden="false" customHeight="true" outlineLevel="0" collapsed="false">
      <c r="B1" s="38" t="s">
        <v>222</v>
      </c>
    </row>
    <row r="2" customFormat="false" ht="30" hidden="false" customHeight="true" outlineLevel="0" collapsed="false">
      <c r="B2" s="1" t="s">
        <v>761</v>
      </c>
    </row>
    <row r="3" customFormat="false" ht="15" hidden="false" customHeight="false" outlineLevel="0" collapsed="false">
      <c r="B3" s="2" t="s">
        <v>762</v>
      </c>
    </row>
    <row r="4" customFormat="false" ht="6" hidden="false" customHeight="true" outlineLevel="0" collapsed="false">
      <c r="B4" s="3"/>
      <c r="C4" s="3"/>
    </row>
    <row r="7" customFormat="false" ht="21.75" hidden="false" customHeight="true" outlineLevel="0" collapsed="false">
      <c r="B7" s="4" t="s">
        <v>225</v>
      </c>
      <c r="C7" s="4"/>
    </row>
    <row r="8" customFormat="false" ht="18" hidden="false" customHeight="true" outlineLevel="0" collapsed="false">
      <c r="B8" s="37" t="s">
        <v>177</v>
      </c>
      <c r="C8" s="6" t="s">
        <v>763</v>
      </c>
    </row>
    <row r="9" customFormat="false" ht="18" hidden="false" customHeight="true" outlineLevel="0" collapsed="false">
      <c r="B9" s="37" t="s">
        <v>179</v>
      </c>
      <c r="C9" s="6" t="s">
        <v>764</v>
      </c>
    </row>
    <row r="10" customFormat="false" ht="31.5" hidden="false" customHeight="true" outlineLevel="0" collapsed="false">
      <c r="B10" s="37" t="s">
        <v>181</v>
      </c>
      <c r="C10" s="6" t="s">
        <v>765</v>
      </c>
    </row>
    <row r="11" customFormat="false" ht="18" hidden="false" customHeight="true" outlineLevel="0" collapsed="false">
      <c r="B11" s="37" t="s">
        <v>183</v>
      </c>
      <c r="C11" s="6" t="s">
        <v>766</v>
      </c>
    </row>
    <row r="13" customFormat="false" ht="21.75" hidden="false" customHeight="true" outlineLevel="0" collapsed="false">
      <c r="B13" s="4" t="s">
        <v>229</v>
      </c>
      <c r="C13" s="4"/>
    </row>
    <row r="14" customFormat="false" ht="18" hidden="false" customHeight="true" outlineLevel="0" collapsed="false">
      <c r="B14" s="31" t="s">
        <v>230</v>
      </c>
      <c r="C14" s="31" t="s">
        <v>231</v>
      </c>
    </row>
    <row r="15" customFormat="false" ht="31.5" hidden="false" customHeight="true" outlineLevel="0" collapsed="false">
      <c r="B15" s="32" t="s">
        <v>232</v>
      </c>
      <c r="C15" s="33" t="s">
        <v>767</v>
      </c>
    </row>
    <row r="16" customFormat="false" ht="18" hidden="false" customHeight="true" outlineLevel="0" collapsed="false">
      <c r="B16" s="32" t="s">
        <v>234</v>
      </c>
      <c r="C16" s="33" t="s">
        <v>768</v>
      </c>
    </row>
    <row r="17" customFormat="false" ht="18" hidden="false" customHeight="true" outlineLevel="0" collapsed="false">
      <c r="B17" s="32" t="s">
        <v>236</v>
      </c>
      <c r="C17" s="33" t="s">
        <v>769</v>
      </c>
    </row>
    <row r="19" customFormat="false" ht="21.75" hidden="false" customHeight="true" outlineLevel="0" collapsed="false">
      <c r="B19" s="4" t="s">
        <v>238</v>
      </c>
      <c r="C19" s="4"/>
    </row>
    <row r="20" customFormat="false" ht="60" hidden="false" customHeight="true" outlineLevel="0" collapsed="false">
      <c r="B20" s="34"/>
      <c r="C20" s="6" t="s">
        <v>770</v>
      </c>
    </row>
    <row r="22" customFormat="false" ht="21.75" hidden="false" customHeight="true" outlineLevel="0" collapsed="false">
      <c r="B22" s="4" t="s">
        <v>240</v>
      </c>
      <c r="C22" s="4"/>
    </row>
    <row r="23" customFormat="false" ht="31.5" hidden="false" customHeight="true" outlineLevel="0" collapsed="false">
      <c r="B23" s="34"/>
      <c r="C23" s="6" t="s">
        <v>771</v>
      </c>
    </row>
    <row r="24" customFormat="false" ht="18" hidden="false" customHeight="true" outlineLevel="0" collapsed="false">
      <c r="B24" s="31" t="s">
        <v>242</v>
      </c>
      <c r="C24" s="31" t="s">
        <v>772</v>
      </c>
    </row>
    <row r="25" customFormat="false" ht="18" hidden="false" customHeight="true" outlineLevel="0" collapsed="false">
      <c r="B25" s="32" t="s">
        <v>773</v>
      </c>
      <c r="C25" s="33" t="s">
        <v>774</v>
      </c>
    </row>
    <row r="26" customFormat="false" ht="18" hidden="false" customHeight="true" outlineLevel="0" collapsed="false">
      <c r="B26" s="32" t="s">
        <v>775</v>
      </c>
      <c r="C26" s="33" t="s">
        <v>776</v>
      </c>
    </row>
    <row r="27" customFormat="false" ht="18" hidden="false" customHeight="true" outlineLevel="0" collapsed="false">
      <c r="B27" s="32" t="s">
        <v>777</v>
      </c>
      <c r="C27" s="33" t="s">
        <v>778</v>
      </c>
    </row>
    <row r="28" customFormat="false" ht="18" hidden="false" customHeight="true" outlineLevel="0" collapsed="false">
      <c r="B28" s="32" t="s">
        <v>779</v>
      </c>
      <c r="C28" s="33" t="s">
        <v>780</v>
      </c>
    </row>
    <row r="29" customFormat="false" ht="18" hidden="false" customHeight="true" outlineLevel="0" collapsed="false">
      <c r="B29" s="34"/>
      <c r="C29" s="6" t="s">
        <v>781</v>
      </c>
    </row>
    <row r="30" customFormat="false" ht="18" hidden="false" customHeight="true" outlineLevel="0" collapsed="false">
      <c r="B30" s="31" t="s">
        <v>230</v>
      </c>
      <c r="C30" s="31" t="s">
        <v>782</v>
      </c>
    </row>
    <row r="31" customFormat="false" ht="31.5" hidden="false" customHeight="true" outlineLevel="0" collapsed="false">
      <c r="B31" s="32" t="s">
        <v>232</v>
      </c>
      <c r="C31" s="33" t="s">
        <v>783</v>
      </c>
    </row>
    <row r="32" customFormat="false" ht="31.5" hidden="false" customHeight="true" outlineLevel="0" collapsed="false">
      <c r="B32" s="32" t="s">
        <v>234</v>
      </c>
      <c r="C32" s="33" t="s">
        <v>784</v>
      </c>
    </row>
    <row r="33" customFormat="false" ht="31.5" hidden="false" customHeight="true" outlineLevel="0" collapsed="false">
      <c r="B33" s="32" t="s">
        <v>236</v>
      </c>
      <c r="C33" s="33" t="s">
        <v>785</v>
      </c>
    </row>
    <row r="34" customFormat="false" ht="31.5" hidden="false" customHeight="true" outlineLevel="0" collapsed="false">
      <c r="B34" s="32" t="s">
        <v>786</v>
      </c>
      <c r="C34" s="33" t="s">
        <v>787</v>
      </c>
    </row>
    <row r="35" customFormat="false" ht="31.5" hidden="false" customHeight="true" outlineLevel="0" collapsed="false">
      <c r="B35" s="32" t="s">
        <v>788</v>
      </c>
      <c r="C35" s="33" t="s">
        <v>789</v>
      </c>
    </row>
    <row r="36" customFormat="false" ht="18" hidden="false" customHeight="true" outlineLevel="0" collapsed="false">
      <c r="B36" s="34"/>
      <c r="C36" s="6" t="s">
        <v>790</v>
      </c>
    </row>
    <row r="37" customFormat="false" ht="18" hidden="false" customHeight="true" outlineLevel="0" collapsed="false">
      <c r="B37" s="37" t="s">
        <v>4</v>
      </c>
      <c r="C37" s="6" t="s">
        <v>791</v>
      </c>
    </row>
    <row r="38" customFormat="false" ht="18" hidden="false" customHeight="true" outlineLevel="0" collapsed="false">
      <c r="B38" s="37" t="s">
        <v>4</v>
      </c>
      <c r="C38" s="6" t="s">
        <v>792</v>
      </c>
    </row>
    <row r="39" customFormat="false" ht="18" hidden="false" customHeight="true" outlineLevel="0" collapsed="false">
      <c r="B39" s="37" t="s">
        <v>4</v>
      </c>
      <c r="C39" s="6" t="s">
        <v>793</v>
      </c>
    </row>
    <row r="41" customFormat="false" ht="21.75" hidden="false" customHeight="true" outlineLevel="0" collapsed="false">
      <c r="B41" s="4" t="s">
        <v>250</v>
      </c>
      <c r="C41" s="4"/>
    </row>
    <row r="42" customFormat="false" ht="18" hidden="false" customHeight="true" outlineLevel="0" collapsed="false">
      <c r="B42" s="31" t="s">
        <v>251</v>
      </c>
      <c r="C42" s="31" t="s">
        <v>252</v>
      </c>
    </row>
    <row r="43" customFormat="false" ht="31.5" hidden="false" customHeight="true" outlineLevel="0" collapsed="false">
      <c r="B43" s="32" t="s">
        <v>253</v>
      </c>
      <c r="C43" s="33" t="s">
        <v>794</v>
      </c>
    </row>
    <row r="44" customFormat="false" ht="31.5" hidden="false" customHeight="true" outlineLevel="0" collapsed="false">
      <c r="B44" s="32" t="s">
        <v>257</v>
      </c>
      <c r="C44" s="33" t="s">
        <v>795</v>
      </c>
    </row>
    <row r="45" customFormat="false" ht="18" hidden="false" customHeight="true" outlineLevel="0" collapsed="false">
      <c r="B45" s="32" t="s">
        <v>796</v>
      </c>
      <c r="C45" s="33" t="s">
        <v>797</v>
      </c>
    </row>
    <row r="46" customFormat="false" ht="18" hidden="false" customHeight="true" outlineLevel="0" collapsed="false">
      <c r="B46" s="32" t="s">
        <v>798</v>
      </c>
      <c r="C46" s="33" t="s">
        <v>799</v>
      </c>
    </row>
    <row r="47" customFormat="false" ht="18" hidden="false" customHeight="true" outlineLevel="0" collapsed="false">
      <c r="B47" s="32" t="s">
        <v>800</v>
      </c>
      <c r="C47" s="33" t="s">
        <v>801</v>
      </c>
    </row>
    <row r="49" customFormat="false" ht="21.75" hidden="false" customHeight="true" outlineLevel="0" collapsed="false">
      <c r="B49" s="4" t="s">
        <v>263</v>
      </c>
      <c r="C49" s="4"/>
    </row>
    <row r="50" customFormat="false" ht="18" hidden="false" customHeight="true" outlineLevel="0" collapsed="false">
      <c r="B50" s="31" t="s">
        <v>264</v>
      </c>
      <c r="C50" s="31" t="s">
        <v>265</v>
      </c>
    </row>
    <row r="51" customFormat="false" ht="18" hidden="false" customHeight="true" outlineLevel="0" collapsed="false">
      <c r="B51" s="32" t="s">
        <v>802</v>
      </c>
      <c r="C51" s="33" t="s">
        <v>803</v>
      </c>
    </row>
    <row r="52" customFormat="false" ht="18" hidden="false" customHeight="true" outlineLevel="0" collapsed="false">
      <c r="B52" s="32" t="s">
        <v>804</v>
      </c>
      <c r="C52" s="33" t="s">
        <v>805</v>
      </c>
    </row>
    <row r="53" customFormat="false" ht="18" hidden="false" customHeight="true" outlineLevel="0" collapsed="false">
      <c r="B53" s="32" t="s">
        <v>806</v>
      </c>
      <c r="C53" s="33" t="s">
        <v>807</v>
      </c>
    </row>
    <row r="54" customFormat="false" ht="18" hidden="false" customHeight="true" outlineLevel="0" collapsed="false">
      <c r="B54" s="34"/>
      <c r="C54" s="6" t="s">
        <v>530</v>
      </c>
    </row>
    <row r="56" customFormat="false" ht="21.75" hidden="false" customHeight="true" outlineLevel="0" collapsed="false">
      <c r="B56" s="4" t="s">
        <v>270</v>
      </c>
      <c r="C56" s="4"/>
    </row>
    <row r="57" customFormat="false" ht="73.5" hidden="false" customHeight="true" outlineLevel="0" collapsed="false">
      <c r="B57" s="34" t="s">
        <v>808</v>
      </c>
      <c r="C57" s="36" t="s">
        <v>809</v>
      </c>
    </row>
    <row r="58" customFormat="false" ht="87.75" hidden="false" customHeight="true" outlineLevel="0" collapsed="false">
      <c r="B58" s="34" t="s">
        <v>810</v>
      </c>
      <c r="C58" s="36" t="s">
        <v>811</v>
      </c>
    </row>
    <row r="59" customFormat="false" ht="31.5" hidden="false" customHeight="true" outlineLevel="0" collapsed="false">
      <c r="B59" s="34" t="s">
        <v>812</v>
      </c>
      <c r="C59" s="6" t="s">
        <v>813</v>
      </c>
    </row>
    <row r="60" customFormat="false" ht="45.75" hidden="false" customHeight="true" outlineLevel="0" collapsed="false">
      <c r="B60" s="34" t="s">
        <v>277</v>
      </c>
      <c r="C60" s="36" t="s">
        <v>814</v>
      </c>
    </row>
    <row r="61" customFormat="false" ht="18" hidden="false" customHeight="true" outlineLevel="0" collapsed="false">
      <c r="B61" s="34" t="s">
        <v>343</v>
      </c>
      <c r="C61" s="6" t="s">
        <v>815</v>
      </c>
    </row>
    <row r="63" customFormat="false" ht="21.75" hidden="false" customHeight="true" outlineLevel="0" collapsed="false">
      <c r="B63" s="4" t="s">
        <v>284</v>
      </c>
      <c r="C63" s="4"/>
    </row>
    <row r="64" customFormat="false" ht="18" hidden="false" customHeight="true" outlineLevel="0" collapsed="false">
      <c r="B64" s="31" t="s">
        <v>816</v>
      </c>
      <c r="C64" s="31" t="s">
        <v>817</v>
      </c>
    </row>
    <row r="65" customFormat="false" ht="45.75" hidden="false" customHeight="true" outlineLevel="0" collapsed="false">
      <c r="B65" s="32" t="s">
        <v>818</v>
      </c>
      <c r="C65" s="33" t="s">
        <v>819</v>
      </c>
    </row>
    <row r="66" customFormat="false" ht="45.75" hidden="false" customHeight="true" outlineLevel="0" collapsed="false">
      <c r="B66" s="32" t="s">
        <v>820</v>
      </c>
      <c r="C66" s="33" t="s">
        <v>819</v>
      </c>
    </row>
    <row r="67" customFormat="false" ht="45.75" hidden="false" customHeight="true" outlineLevel="0" collapsed="false">
      <c r="B67" s="32" t="s">
        <v>821</v>
      </c>
      <c r="C67" s="33" t="s">
        <v>819</v>
      </c>
    </row>
    <row r="68" customFormat="false" ht="45.75" hidden="false" customHeight="true" outlineLevel="0" collapsed="false">
      <c r="B68" s="32" t="s">
        <v>822</v>
      </c>
      <c r="C68" s="33" t="s">
        <v>819</v>
      </c>
    </row>
    <row r="69" customFormat="false" ht="45.75" hidden="false" customHeight="true" outlineLevel="0" collapsed="false">
      <c r="B69" s="32" t="s">
        <v>823</v>
      </c>
      <c r="C69" s="33" t="s">
        <v>819</v>
      </c>
    </row>
    <row r="70" customFormat="false" ht="18" hidden="false" customHeight="true" outlineLevel="0" collapsed="false">
      <c r="B70" s="34"/>
      <c r="C70" s="6" t="s">
        <v>824</v>
      </c>
    </row>
    <row r="72" customFormat="false" ht="21.75" hidden="false" customHeight="true" outlineLevel="0" collapsed="false">
      <c r="B72" s="4" t="s">
        <v>289</v>
      </c>
      <c r="C72" s="4"/>
    </row>
    <row r="73" customFormat="false" ht="18" hidden="false" customHeight="true" outlineLevel="0" collapsed="false">
      <c r="B73" s="37" t="s">
        <v>290</v>
      </c>
      <c r="C73" s="6" t="s">
        <v>825</v>
      </c>
    </row>
    <row r="74" customFormat="false" ht="18" hidden="false" customHeight="true" outlineLevel="0" collapsed="false">
      <c r="B74" s="37" t="s">
        <v>290</v>
      </c>
      <c r="C74" s="6" t="s">
        <v>826</v>
      </c>
    </row>
    <row r="75" customFormat="false" ht="18" hidden="false" customHeight="true" outlineLevel="0" collapsed="false">
      <c r="B75" s="37" t="s">
        <v>290</v>
      </c>
      <c r="C75" s="6" t="s">
        <v>827</v>
      </c>
    </row>
    <row r="76" customFormat="false" ht="18" hidden="false" customHeight="true" outlineLevel="0" collapsed="false">
      <c r="B76" s="37" t="s">
        <v>290</v>
      </c>
      <c r="C76" s="6" t="s">
        <v>828</v>
      </c>
    </row>
    <row r="77" customFormat="false" ht="18" hidden="false" customHeight="true" outlineLevel="0" collapsed="false">
      <c r="B77" s="37" t="s">
        <v>290</v>
      </c>
      <c r="C77" s="6" t="s">
        <v>829</v>
      </c>
    </row>
    <row r="79" customFormat="false" ht="15" hidden="false" customHeight="false" outlineLevel="0" collapsed="false">
      <c r="B79" s="30" t="s">
        <v>295</v>
      </c>
      <c r="C79" s="30" t="s">
        <v>830</v>
      </c>
    </row>
  </sheetData>
  <mergeCells count="9">
    <mergeCell ref="B7:C7"/>
    <mergeCell ref="B13:C13"/>
    <mergeCell ref="B19:C19"/>
    <mergeCell ref="B22:C22"/>
    <mergeCell ref="B41:C41"/>
    <mergeCell ref="B49:C49"/>
    <mergeCell ref="B56:C56"/>
    <mergeCell ref="B63:C63"/>
    <mergeCell ref="B72:C72"/>
  </mergeCells>
  <hyperlinks>
    <hyperlink ref="B1" r:id="rId1" location="'Jadwal'!A1" display="◀ kembali ke Jadwal"/>
    <hyperlink ref="C79" r:id="rId2" location="'Kuis &amp; Kunci'!A1" display="lihat sheet &quot;Kuis &amp; Kunci&quot; dan file 02_STUDY_CASE/Day12_Performance_Index_Data_Besar.m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1:C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00"/>
    <col collapsed="false" customWidth="true" hidden="false" outlineLevel="0" max="4" min="4" style="0" width="3"/>
  </cols>
  <sheetData>
    <row r="1" customFormat="false" ht="13.5" hidden="false" customHeight="true" outlineLevel="0" collapsed="false">
      <c r="B1" s="38" t="s">
        <v>222</v>
      </c>
    </row>
    <row r="2" customFormat="false" ht="30" hidden="false" customHeight="true" outlineLevel="0" collapsed="false">
      <c r="B2" s="1" t="s">
        <v>831</v>
      </c>
    </row>
    <row r="3" customFormat="false" ht="15" hidden="false" customHeight="false" outlineLevel="0" collapsed="false">
      <c r="B3" s="2" t="s">
        <v>832</v>
      </c>
    </row>
    <row r="4" customFormat="false" ht="6" hidden="false" customHeight="true" outlineLevel="0" collapsed="false">
      <c r="B4" s="3"/>
      <c r="C4" s="3"/>
    </row>
    <row r="7" customFormat="false" ht="21.75" hidden="false" customHeight="true" outlineLevel="0" collapsed="false">
      <c r="B7" s="4" t="s">
        <v>225</v>
      </c>
      <c r="C7" s="4"/>
    </row>
    <row r="8" customFormat="false" ht="31.5" hidden="false" customHeight="true" outlineLevel="0" collapsed="false">
      <c r="B8" s="37" t="s">
        <v>177</v>
      </c>
      <c r="C8" s="6" t="s">
        <v>833</v>
      </c>
    </row>
    <row r="9" customFormat="false" ht="31.5" hidden="false" customHeight="true" outlineLevel="0" collapsed="false">
      <c r="B9" s="37" t="s">
        <v>179</v>
      </c>
      <c r="C9" s="6" t="s">
        <v>834</v>
      </c>
    </row>
    <row r="10" customFormat="false" ht="18" hidden="false" customHeight="true" outlineLevel="0" collapsed="false">
      <c r="B10" s="37" t="s">
        <v>181</v>
      </c>
      <c r="C10" s="6" t="s">
        <v>835</v>
      </c>
    </row>
    <row r="11" customFormat="false" ht="18" hidden="false" customHeight="true" outlineLevel="0" collapsed="false">
      <c r="B11" s="37" t="s">
        <v>183</v>
      </c>
      <c r="C11" s="6" t="s">
        <v>836</v>
      </c>
    </row>
    <row r="12" customFormat="false" ht="18" hidden="false" customHeight="true" outlineLevel="0" collapsed="false">
      <c r="B12" s="34"/>
      <c r="C12" s="35" t="s">
        <v>837</v>
      </c>
    </row>
    <row r="14" customFormat="false" ht="21.75" hidden="false" customHeight="true" outlineLevel="0" collapsed="false">
      <c r="B14" s="4" t="s">
        <v>229</v>
      </c>
      <c r="C14" s="4"/>
    </row>
    <row r="15" customFormat="false" ht="18" hidden="false" customHeight="true" outlineLevel="0" collapsed="false">
      <c r="B15" s="31" t="s">
        <v>230</v>
      </c>
      <c r="C15" s="31" t="s">
        <v>231</v>
      </c>
    </row>
    <row r="16" customFormat="false" ht="31.5" hidden="false" customHeight="true" outlineLevel="0" collapsed="false">
      <c r="B16" s="32" t="s">
        <v>232</v>
      </c>
      <c r="C16" s="33" t="s">
        <v>838</v>
      </c>
    </row>
    <row r="17" customFormat="false" ht="18" hidden="false" customHeight="true" outlineLevel="0" collapsed="false">
      <c r="B17" s="32" t="s">
        <v>234</v>
      </c>
      <c r="C17" s="33" t="s">
        <v>839</v>
      </c>
    </row>
    <row r="18" customFormat="false" ht="31.5" hidden="false" customHeight="true" outlineLevel="0" collapsed="false">
      <c r="B18" s="32" t="s">
        <v>236</v>
      </c>
      <c r="C18" s="33" t="s">
        <v>840</v>
      </c>
    </row>
    <row r="20" customFormat="false" ht="21.75" hidden="false" customHeight="true" outlineLevel="0" collapsed="false">
      <c r="B20" s="4" t="s">
        <v>238</v>
      </c>
      <c r="C20" s="4"/>
    </row>
    <row r="21" customFormat="false" ht="60" hidden="false" customHeight="true" outlineLevel="0" collapsed="false">
      <c r="B21" s="34"/>
      <c r="C21" s="6" t="s">
        <v>841</v>
      </c>
    </row>
    <row r="22" customFormat="false" ht="18" hidden="false" customHeight="true" outlineLevel="0" collapsed="false">
      <c r="B22" s="34"/>
      <c r="C22" s="6" t="s">
        <v>842</v>
      </c>
    </row>
    <row r="24" customFormat="false" ht="21.75" hidden="false" customHeight="true" outlineLevel="0" collapsed="false">
      <c r="B24" s="4" t="s">
        <v>240</v>
      </c>
      <c r="C24" s="4"/>
    </row>
    <row r="25" customFormat="false" ht="18" hidden="false" customHeight="true" outlineLevel="0" collapsed="false">
      <c r="B25" s="31" t="s">
        <v>843</v>
      </c>
      <c r="C25" s="31" t="s">
        <v>844</v>
      </c>
    </row>
    <row r="26" customFormat="false" ht="31.5" hidden="false" customHeight="true" outlineLevel="0" collapsed="false">
      <c r="B26" s="32" t="s">
        <v>845</v>
      </c>
      <c r="C26" s="33" t="s">
        <v>846</v>
      </c>
    </row>
    <row r="27" customFormat="false" ht="31.5" hidden="false" customHeight="true" outlineLevel="0" collapsed="false">
      <c r="B27" s="32" t="s">
        <v>847</v>
      </c>
      <c r="C27" s="33" t="s">
        <v>848</v>
      </c>
    </row>
    <row r="28" customFormat="false" ht="31.5" hidden="false" customHeight="true" outlineLevel="0" collapsed="false">
      <c r="B28" s="32" t="s">
        <v>849</v>
      </c>
      <c r="C28" s="33" t="s">
        <v>850</v>
      </c>
    </row>
    <row r="29" customFormat="false" ht="31.5" hidden="false" customHeight="true" outlineLevel="0" collapsed="false">
      <c r="B29" s="32" t="s">
        <v>851</v>
      </c>
      <c r="C29" s="33" t="s">
        <v>852</v>
      </c>
    </row>
    <row r="30" customFormat="false" ht="31.5" hidden="false" customHeight="true" outlineLevel="0" collapsed="false">
      <c r="B30" s="32" t="s">
        <v>853</v>
      </c>
      <c r="C30" s="33" t="s">
        <v>854</v>
      </c>
    </row>
    <row r="31" customFormat="false" ht="31.5" hidden="false" customHeight="true" outlineLevel="0" collapsed="false">
      <c r="B31" s="32" t="s">
        <v>855</v>
      </c>
      <c r="C31" s="33" t="s">
        <v>856</v>
      </c>
    </row>
    <row r="32" customFormat="false" ht="31.5" hidden="false" customHeight="true" outlineLevel="0" collapsed="false">
      <c r="B32" s="34"/>
      <c r="C32" s="6" t="s">
        <v>857</v>
      </c>
    </row>
    <row r="33" customFormat="false" ht="18" hidden="false" customHeight="true" outlineLevel="0" collapsed="false">
      <c r="B33" s="34"/>
      <c r="C33" s="6" t="s">
        <v>858</v>
      </c>
    </row>
    <row r="34" customFormat="false" ht="31.5" hidden="false" customHeight="true" outlineLevel="0" collapsed="false">
      <c r="B34" s="37" t="s">
        <v>4</v>
      </c>
      <c r="C34" s="6" t="s">
        <v>859</v>
      </c>
    </row>
    <row r="35" customFormat="false" ht="18" hidden="false" customHeight="true" outlineLevel="0" collapsed="false">
      <c r="B35" s="37" t="s">
        <v>4</v>
      </c>
      <c r="C35" s="6" t="s">
        <v>860</v>
      </c>
    </row>
    <row r="36" customFormat="false" ht="31.5" hidden="false" customHeight="true" outlineLevel="0" collapsed="false">
      <c r="B36" s="37" t="s">
        <v>4</v>
      </c>
      <c r="C36" s="6" t="s">
        <v>861</v>
      </c>
    </row>
    <row r="37" customFormat="false" ht="18" hidden="false" customHeight="true" outlineLevel="0" collapsed="false">
      <c r="B37" s="37" t="s">
        <v>4</v>
      </c>
      <c r="C37" s="6" t="s">
        <v>862</v>
      </c>
    </row>
    <row r="38" customFormat="false" ht="31.5" hidden="false" customHeight="true" outlineLevel="0" collapsed="false">
      <c r="B38" s="37" t="s">
        <v>4</v>
      </c>
      <c r="C38" s="6" t="s">
        <v>863</v>
      </c>
    </row>
    <row r="40" customFormat="false" ht="21.75" hidden="false" customHeight="true" outlineLevel="0" collapsed="false">
      <c r="B40" s="4" t="s">
        <v>250</v>
      </c>
      <c r="C40" s="4"/>
    </row>
    <row r="41" customFormat="false" ht="18" hidden="false" customHeight="true" outlineLevel="0" collapsed="false">
      <c r="B41" s="31" t="s">
        <v>251</v>
      </c>
      <c r="C41" s="31" t="s">
        <v>252</v>
      </c>
    </row>
    <row r="42" customFormat="false" ht="18" hidden="false" customHeight="true" outlineLevel="0" collapsed="false">
      <c r="B42" s="32" t="s">
        <v>559</v>
      </c>
      <c r="C42" s="33" t="s">
        <v>864</v>
      </c>
    </row>
    <row r="43" customFormat="false" ht="31.5" hidden="false" customHeight="true" outlineLevel="0" collapsed="false">
      <c r="B43" s="32" t="s">
        <v>865</v>
      </c>
      <c r="C43" s="33" t="s">
        <v>866</v>
      </c>
    </row>
    <row r="44" customFormat="false" ht="18" hidden="false" customHeight="true" outlineLevel="0" collapsed="false">
      <c r="B44" s="32" t="s">
        <v>867</v>
      </c>
      <c r="C44" s="33" t="s">
        <v>868</v>
      </c>
    </row>
    <row r="45" customFormat="false" ht="31.5" hidden="false" customHeight="true" outlineLevel="0" collapsed="false">
      <c r="B45" s="32" t="s">
        <v>255</v>
      </c>
      <c r="C45" s="33" t="s">
        <v>869</v>
      </c>
    </row>
    <row r="46" customFormat="false" ht="18" hidden="false" customHeight="true" outlineLevel="0" collapsed="false">
      <c r="B46" s="32" t="s">
        <v>870</v>
      </c>
      <c r="C46" s="33" t="s">
        <v>871</v>
      </c>
    </row>
    <row r="47" customFormat="false" ht="18" hidden="false" customHeight="true" outlineLevel="0" collapsed="false">
      <c r="B47" s="32" t="s">
        <v>257</v>
      </c>
      <c r="C47" s="33" t="s">
        <v>872</v>
      </c>
    </row>
    <row r="49" customFormat="false" ht="21.75" hidden="false" customHeight="true" outlineLevel="0" collapsed="false">
      <c r="B49" s="4" t="s">
        <v>263</v>
      </c>
      <c r="C49" s="4"/>
    </row>
    <row r="50" customFormat="false" ht="18" hidden="false" customHeight="true" outlineLevel="0" collapsed="false">
      <c r="B50" s="31" t="s">
        <v>264</v>
      </c>
      <c r="C50" s="31" t="s">
        <v>265</v>
      </c>
    </row>
    <row r="51" customFormat="false" ht="31.5" hidden="false" customHeight="true" outlineLevel="0" collapsed="false">
      <c r="B51" s="32" t="s">
        <v>266</v>
      </c>
      <c r="C51" s="33" t="s">
        <v>873</v>
      </c>
    </row>
    <row r="52" customFormat="false" ht="31.5" hidden="false" customHeight="true" outlineLevel="0" collapsed="false">
      <c r="B52" s="32" t="s">
        <v>268</v>
      </c>
      <c r="C52" s="33" t="s">
        <v>874</v>
      </c>
    </row>
    <row r="53" customFormat="false" ht="18" hidden="false" customHeight="true" outlineLevel="0" collapsed="false">
      <c r="B53" s="34"/>
      <c r="C53" s="6" t="s">
        <v>530</v>
      </c>
    </row>
    <row r="55" customFormat="false" ht="21.75" hidden="false" customHeight="true" outlineLevel="0" collapsed="false">
      <c r="B55" s="4" t="s">
        <v>270</v>
      </c>
      <c r="C55" s="4"/>
    </row>
    <row r="56" customFormat="false" ht="73.5" hidden="false" customHeight="true" outlineLevel="0" collapsed="false">
      <c r="B56" s="34" t="s">
        <v>875</v>
      </c>
      <c r="C56" s="36" t="s">
        <v>876</v>
      </c>
    </row>
    <row r="57" customFormat="false" ht="87.75" hidden="false" customHeight="true" outlineLevel="0" collapsed="false">
      <c r="B57" s="34" t="s">
        <v>877</v>
      </c>
      <c r="C57" s="36" t="s">
        <v>878</v>
      </c>
    </row>
    <row r="58" customFormat="false" ht="73.5" hidden="false" customHeight="true" outlineLevel="0" collapsed="false">
      <c r="B58" s="34" t="s">
        <v>879</v>
      </c>
      <c r="C58" s="36" t="s">
        <v>880</v>
      </c>
    </row>
    <row r="59" customFormat="false" ht="31.5" hidden="false" customHeight="true" outlineLevel="0" collapsed="false">
      <c r="B59" s="34" t="s">
        <v>881</v>
      </c>
      <c r="C59" s="6" t="s">
        <v>882</v>
      </c>
    </row>
    <row r="60" customFormat="false" ht="73.5" hidden="false" customHeight="true" outlineLevel="0" collapsed="false">
      <c r="B60" s="34"/>
      <c r="C60" s="36" t="s">
        <v>883</v>
      </c>
    </row>
    <row r="61" customFormat="false" ht="18" hidden="false" customHeight="true" outlineLevel="0" collapsed="false">
      <c r="B61" s="31" t="s">
        <v>230</v>
      </c>
      <c r="C61" s="31" t="s">
        <v>395</v>
      </c>
    </row>
    <row r="62" customFormat="false" ht="18" hidden="false" customHeight="true" outlineLevel="0" collapsed="false">
      <c r="B62" s="34" t="s">
        <v>396</v>
      </c>
      <c r="C62" s="39" t="s">
        <v>884</v>
      </c>
    </row>
    <row r="63" customFormat="false" ht="18" hidden="false" customHeight="true" outlineLevel="0" collapsed="false">
      <c r="B63" s="34" t="s">
        <v>398</v>
      </c>
      <c r="C63" s="39" t="s">
        <v>885</v>
      </c>
    </row>
    <row r="64" customFormat="false" ht="31.5" hidden="false" customHeight="true" outlineLevel="0" collapsed="false">
      <c r="B64" s="34" t="s">
        <v>400</v>
      </c>
      <c r="C64" s="39" t="s">
        <v>886</v>
      </c>
    </row>
    <row r="65" customFormat="false" ht="18" hidden="false" customHeight="true" outlineLevel="0" collapsed="false">
      <c r="B65" s="34" t="s">
        <v>402</v>
      </c>
      <c r="C65" s="39" t="s">
        <v>887</v>
      </c>
    </row>
    <row r="66" customFormat="false" ht="18" hidden="false" customHeight="true" outlineLevel="0" collapsed="false">
      <c r="B66" s="34" t="s">
        <v>655</v>
      </c>
      <c r="C66" s="39" t="s">
        <v>888</v>
      </c>
    </row>
    <row r="67" customFormat="false" ht="18" hidden="false" customHeight="true" outlineLevel="0" collapsed="false">
      <c r="B67" s="34" t="s">
        <v>282</v>
      </c>
      <c r="C67" s="6" t="s">
        <v>404</v>
      </c>
    </row>
    <row r="69" customFormat="false" ht="21.75" hidden="false" customHeight="true" outlineLevel="0" collapsed="false">
      <c r="B69" s="4" t="s">
        <v>284</v>
      </c>
      <c r="C69" s="4"/>
    </row>
    <row r="70" customFormat="false" ht="18" hidden="false" customHeight="true" outlineLevel="0" collapsed="false">
      <c r="B70" s="37" t="s">
        <v>177</v>
      </c>
      <c r="C70" s="6" t="s">
        <v>889</v>
      </c>
    </row>
    <row r="71" customFormat="false" ht="18" hidden="false" customHeight="true" outlineLevel="0" collapsed="false">
      <c r="B71" s="37" t="s">
        <v>179</v>
      </c>
      <c r="C71" s="6" t="s">
        <v>890</v>
      </c>
    </row>
    <row r="72" customFormat="false" ht="18" hidden="false" customHeight="true" outlineLevel="0" collapsed="false">
      <c r="B72" s="37" t="s">
        <v>181</v>
      </c>
      <c r="C72" s="6" t="s">
        <v>891</v>
      </c>
    </row>
    <row r="73" customFormat="false" ht="18" hidden="false" customHeight="true" outlineLevel="0" collapsed="false">
      <c r="B73" s="37" t="s">
        <v>183</v>
      </c>
      <c r="C73" s="6" t="s">
        <v>288</v>
      </c>
    </row>
    <row r="75" customFormat="false" ht="21.75" hidden="false" customHeight="true" outlineLevel="0" collapsed="false">
      <c r="B75" s="4" t="s">
        <v>289</v>
      </c>
      <c r="C75" s="4"/>
    </row>
    <row r="76" customFormat="false" ht="18" hidden="false" customHeight="true" outlineLevel="0" collapsed="false">
      <c r="B76" s="37" t="s">
        <v>290</v>
      </c>
      <c r="C76" s="6" t="s">
        <v>892</v>
      </c>
    </row>
    <row r="77" customFormat="false" ht="18" hidden="false" customHeight="true" outlineLevel="0" collapsed="false">
      <c r="B77" s="37" t="s">
        <v>290</v>
      </c>
      <c r="C77" s="6" t="s">
        <v>893</v>
      </c>
    </row>
    <row r="78" customFormat="false" ht="18" hidden="false" customHeight="true" outlineLevel="0" collapsed="false">
      <c r="B78" s="37" t="s">
        <v>290</v>
      </c>
      <c r="C78" s="6" t="s">
        <v>894</v>
      </c>
    </row>
    <row r="79" customFormat="false" ht="18" hidden="false" customHeight="true" outlineLevel="0" collapsed="false">
      <c r="B79" s="37" t="s">
        <v>290</v>
      </c>
      <c r="C79" s="6" t="s">
        <v>895</v>
      </c>
    </row>
    <row r="80" customFormat="false" ht="18" hidden="false" customHeight="true" outlineLevel="0" collapsed="false">
      <c r="B80" s="37" t="s">
        <v>290</v>
      </c>
      <c r="C80" s="6" t="s">
        <v>288</v>
      </c>
    </row>
    <row r="82" customFormat="false" ht="15" hidden="false" customHeight="false" outlineLevel="0" collapsed="false">
      <c r="B82" s="30" t="s">
        <v>295</v>
      </c>
      <c r="C82" s="30" t="s">
        <v>896</v>
      </c>
    </row>
  </sheetData>
  <mergeCells count="9">
    <mergeCell ref="B7:C7"/>
    <mergeCell ref="B14:C14"/>
    <mergeCell ref="B20:C20"/>
    <mergeCell ref="B24:C24"/>
    <mergeCell ref="B40:C40"/>
    <mergeCell ref="B49:C49"/>
    <mergeCell ref="B55:C55"/>
    <mergeCell ref="B69:C69"/>
    <mergeCell ref="B75:C75"/>
  </mergeCells>
  <hyperlinks>
    <hyperlink ref="B1" r:id="rId1" location="'Jadwal'!A1" display="◀ kembali ke Jadwal"/>
    <hyperlink ref="C82" r:id="rId2" location="'Kuis &amp; Kunci'!A1" display="lihat sheet &quot;Kuis &amp; Kunci&quot; dan file 02_STUDY_CASE/Day13_Transaksi_Process_Order_End_to_End.m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1:C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00"/>
    <col collapsed="false" customWidth="true" hidden="false" outlineLevel="0" max="4" min="4" style="0" width="3"/>
  </cols>
  <sheetData>
    <row r="1" customFormat="false" ht="13.5" hidden="false" customHeight="true" outlineLevel="0" collapsed="false">
      <c r="B1" s="38" t="s">
        <v>222</v>
      </c>
    </row>
    <row r="2" customFormat="false" ht="30" hidden="false" customHeight="true" outlineLevel="0" collapsed="false">
      <c r="B2" s="1" t="s">
        <v>897</v>
      </c>
    </row>
    <row r="3" customFormat="false" ht="15" hidden="false" customHeight="false" outlineLevel="0" collapsed="false">
      <c r="B3" s="2" t="s">
        <v>898</v>
      </c>
    </row>
    <row r="4" customFormat="false" ht="6" hidden="false" customHeight="true" outlineLevel="0" collapsed="false">
      <c r="B4" s="3"/>
      <c r="C4" s="3"/>
    </row>
    <row r="7" customFormat="false" ht="21.75" hidden="false" customHeight="true" outlineLevel="0" collapsed="false">
      <c r="B7" s="4" t="s">
        <v>225</v>
      </c>
      <c r="C7" s="4"/>
    </row>
    <row r="8" customFormat="false" ht="18" hidden="false" customHeight="true" outlineLevel="0" collapsed="false">
      <c r="B8" s="34"/>
      <c r="C8" s="6" t="s">
        <v>899</v>
      </c>
    </row>
    <row r="10" customFormat="false" ht="21.75" hidden="false" customHeight="true" outlineLevel="0" collapsed="false">
      <c r="B10" s="4" t="s">
        <v>229</v>
      </c>
      <c r="C10" s="4"/>
    </row>
    <row r="11" customFormat="false" ht="18" hidden="false" customHeight="true" outlineLevel="0" collapsed="false">
      <c r="B11" s="31" t="s">
        <v>230</v>
      </c>
      <c r="C11" s="31" t="s">
        <v>231</v>
      </c>
    </row>
    <row r="12" customFormat="false" ht="31.5" hidden="false" customHeight="true" outlineLevel="0" collapsed="false">
      <c r="B12" s="32" t="s">
        <v>232</v>
      </c>
      <c r="C12" s="33" t="s">
        <v>900</v>
      </c>
    </row>
    <row r="13" customFormat="false" ht="31.5" hidden="false" customHeight="true" outlineLevel="0" collapsed="false">
      <c r="B13" s="32" t="s">
        <v>234</v>
      </c>
      <c r="C13" s="33" t="s">
        <v>901</v>
      </c>
    </row>
    <row r="14" customFormat="false" ht="18" hidden="false" customHeight="true" outlineLevel="0" collapsed="false">
      <c r="B14" s="32" t="s">
        <v>236</v>
      </c>
      <c r="C14" s="33" t="s">
        <v>902</v>
      </c>
    </row>
    <row r="16" customFormat="false" ht="21.75" hidden="false" customHeight="true" outlineLevel="0" collapsed="false">
      <c r="B16" s="4" t="s">
        <v>238</v>
      </c>
      <c r="C16" s="4"/>
    </row>
    <row r="17" customFormat="false" ht="18" hidden="false" customHeight="true" outlineLevel="0" collapsed="false">
      <c r="B17" s="34"/>
      <c r="C17" s="6" t="s">
        <v>903</v>
      </c>
    </row>
    <row r="18" customFormat="false" ht="31.5" hidden="false" customHeight="true" outlineLevel="0" collapsed="false">
      <c r="B18" s="37" t="s">
        <v>177</v>
      </c>
      <c r="C18" s="6" t="s">
        <v>904</v>
      </c>
    </row>
    <row r="19" customFormat="false" ht="31.5" hidden="false" customHeight="true" outlineLevel="0" collapsed="false">
      <c r="B19" s="37" t="s">
        <v>179</v>
      </c>
      <c r="C19" s="6" t="s">
        <v>905</v>
      </c>
    </row>
    <row r="20" customFormat="false" ht="45.75" hidden="false" customHeight="true" outlineLevel="0" collapsed="false">
      <c r="B20" s="34"/>
      <c r="C20" s="6" t="s">
        <v>906</v>
      </c>
    </row>
    <row r="21" customFormat="false" ht="18" hidden="false" customHeight="true" outlineLevel="0" collapsed="false">
      <c r="B21" s="34"/>
      <c r="C21" s="6" t="s">
        <v>907</v>
      </c>
    </row>
    <row r="23" customFormat="false" ht="21.75" hidden="false" customHeight="true" outlineLevel="0" collapsed="false">
      <c r="B23" s="4" t="s">
        <v>240</v>
      </c>
      <c r="C23" s="4"/>
    </row>
    <row r="24" customFormat="false" ht="18" hidden="false" customHeight="true" outlineLevel="0" collapsed="false">
      <c r="B24" s="34"/>
      <c r="C24" s="6" t="s">
        <v>908</v>
      </c>
    </row>
    <row r="25" customFormat="false" ht="18" hidden="false" customHeight="true" outlineLevel="0" collapsed="false">
      <c r="B25" s="31" t="s">
        <v>230</v>
      </c>
      <c r="C25" s="31" t="s">
        <v>909</v>
      </c>
    </row>
    <row r="26" customFormat="false" ht="31.5" hidden="false" customHeight="true" outlineLevel="0" collapsed="false">
      <c r="B26" s="32" t="s">
        <v>910</v>
      </c>
      <c r="C26" s="33" t="s">
        <v>911</v>
      </c>
    </row>
    <row r="27" customFormat="false" ht="31.5" hidden="false" customHeight="true" outlineLevel="0" collapsed="false">
      <c r="B27" s="32" t="s">
        <v>912</v>
      </c>
      <c r="C27" s="33" t="s">
        <v>913</v>
      </c>
    </row>
    <row r="28" customFormat="false" ht="31.5" hidden="false" customHeight="true" outlineLevel="0" collapsed="false">
      <c r="B28" s="32" t="s">
        <v>914</v>
      </c>
      <c r="C28" s="33" t="s">
        <v>915</v>
      </c>
    </row>
    <row r="29" customFormat="false" ht="31.5" hidden="false" customHeight="true" outlineLevel="0" collapsed="false">
      <c r="B29" s="32" t="s">
        <v>916</v>
      </c>
      <c r="C29" s="33" t="s">
        <v>917</v>
      </c>
    </row>
    <row r="30" customFormat="false" ht="31.5" hidden="false" customHeight="true" outlineLevel="0" collapsed="false">
      <c r="B30" s="32" t="s">
        <v>918</v>
      </c>
      <c r="C30" s="33" t="s">
        <v>919</v>
      </c>
    </row>
    <row r="31" customFormat="false" ht="31.5" hidden="false" customHeight="true" outlineLevel="0" collapsed="false">
      <c r="B31" s="32" t="s">
        <v>920</v>
      </c>
      <c r="C31" s="33" t="s">
        <v>921</v>
      </c>
    </row>
    <row r="32" customFormat="false" ht="31.5" hidden="false" customHeight="true" outlineLevel="0" collapsed="false">
      <c r="B32" s="32" t="s">
        <v>922</v>
      </c>
      <c r="C32" s="33" t="s">
        <v>923</v>
      </c>
    </row>
    <row r="33" customFormat="false" ht="31.5" hidden="false" customHeight="true" outlineLevel="0" collapsed="false">
      <c r="B33" s="32" t="s">
        <v>924</v>
      </c>
      <c r="C33" s="33" t="s">
        <v>925</v>
      </c>
    </row>
    <row r="34" customFormat="false" ht="18" hidden="false" customHeight="true" outlineLevel="0" collapsed="false">
      <c r="B34" s="34"/>
      <c r="C34" s="6" t="s">
        <v>926</v>
      </c>
    </row>
    <row r="35" customFormat="false" ht="18" hidden="false" customHeight="true" outlineLevel="0" collapsed="false">
      <c r="B35" s="31" t="s">
        <v>927</v>
      </c>
      <c r="C35" s="31" t="s">
        <v>928</v>
      </c>
    </row>
    <row r="36" customFormat="false" ht="31.5" hidden="false" customHeight="true" outlineLevel="0" collapsed="false">
      <c r="B36" s="32" t="s">
        <v>929</v>
      </c>
      <c r="C36" s="33" t="s">
        <v>930</v>
      </c>
    </row>
    <row r="37" customFormat="false" ht="31.5" hidden="false" customHeight="true" outlineLevel="0" collapsed="false">
      <c r="B37" s="32" t="s">
        <v>931</v>
      </c>
      <c r="C37" s="33" t="s">
        <v>932</v>
      </c>
    </row>
    <row r="38" customFormat="false" ht="31.5" hidden="false" customHeight="true" outlineLevel="0" collapsed="false">
      <c r="B38" s="32" t="s">
        <v>933</v>
      </c>
      <c r="C38" s="33" t="s">
        <v>934</v>
      </c>
    </row>
    <row r="39" customFormat="false" ht="31.5" hidden="false" customHeight="true" outlineLevel="0" collapsed="false">
      <c r="B39" s="32" t="s">
        <v>935</v>
      </c>
      <c r="C39" s="33" t="s">
        <v>936</v>
      </c>
    </row>
    <row r="40" customFormat="false" ht="31.5" hidden="false" customHeight="true" outlineLevel="0" collapsed="false">
      <c r="B40" s="32" t="s">
        <v>937</v>
      </c>
      <c r="C40" s="33" t="s">
        <v>938</v>
      </c>
    </row>
    <row r="41" customFormat="false" ht="18" hidden="false" customHeight="true" outlineLevel="0" collapsed="false">
      <c r="B41" s="34"/>
      <c r="C41" s="6" t="s">
        <v>939</v>
      </c>
    </row>
    <row r="42" customFormat="false" ht="45.75" hidden="false" customHeight="true" outlineLevel="0" collapsed="false">
      <c r="B42" s="37" t="s">
        <v>4</v>
      </c>
      <c r="C42" s="6" t="s">
        <v>940</v>
      </c>
    </row>
    <row r="43" customFormat="false" ht="45.75" hidden="false" customHeight="true" outlineLevel="0" collapsed="false">
      <c r="B43" s="37" t="s">
        <v>4</v>
      </c>
      <c r="C43" s="6" t="s">
        <v>941</v>
      </c>
    </row>
    <row r="44" customFormat="false" ht="31.5" hidden="false" customHeight="true" outlineLevel="0" collapsed="false">
      <c r="B44" s="37" t="s">
        <v>4</v>
      </c>
      <c r="C44" s="6" t="s">
        <v>942</v>
      </c>
    </row>
    <row r="46" customFormat="false" ht="21.75" hidden="false" customHeight="true" outlineLevel="0" collapsed="false">
      <c r="B46" s="4" t="s">
        <v>250</v>
      </c>
      <c r="C46" s="4"/>
    </row>
    <row r="47" customFormat="false" ht="18" hidden="false" customHeight="true" outlineLevel="0" collapsed="false">
      <c r="B47" s="31" t="s">
        <v>251</v>
      </c>
      <c r="C47" s="31" t="s">
        <v>252</v>
      </c>
    </row>
    <row r="48" customFormat="false" ht="31.5" hidden="false" customHeight="true" outlineLevel="0" collapsed="false">
      <c r="B48" s="32" t="s">
        <v>943</v>
      </c>
      <c r="C48" s="33" t="s">
        <v>944</v>
      </c>
    </row>
    <row r="49" customFormat="false" ht="18" hidden="false" customHeight="true" outlineLevel="0" collapsed="false">
      <c r="B49" s="32" t="s">
        <v>945</v>
      </c>
      <c r="C49" s="33" t="s">
        <v>946</v>
      </c>
    </row>
    <row r="50" customFormat="false" ht="18" hidden="false" customHeight="true" outlineLevel="0" collapsed="false">
      <c r="B50" s="32" t="s">
        <v>947</v>
      </c>
      <c r="C50" s="33" t="s">
        <v>948</v>
      </c>
    </row>
    <row r="51" customFormat="false" ht="31.5" hidden="false" customHeight="true" outlineLevel="0" collapsed="false">
      <c r="B51" s="32" t="s">
        <v>949</v>
      </c>
      <c r="C51" s="33" t="s">
        <v>950</v>
      </c>
    </row>
    <row r="52" customFormat="false" ht="31.5" hidden="false" customHeight="true" outlineLevel="0" collapsed="false">
      <c r="B52" s="32" t="s">
        <v>255</v>
      </c>
      <c r="C52" s="33" t="s">
        <v>951</v>
      </c>
    </row>
    <row r="53" customFormat="false" ht="18" hidden="false" customHeight="true" outlineLevel="0" collapsed="false">
      <c r="B53" s="32" t="s">
        <v>952</v>
      </c>
      <c r="C53" s="33" t="s">
        <v>953</v>
      </c>
    </row>
    <row r="54" customFormat="false" ht="18" hidden="false" customHeight="true" outlineLevel="0" collapsed="false">
      <c r="B54" s="32" t="s">
        <v>870</v>
      </c>
      <c r="C54" s="33" t="s">
        <v>954</v>
      </c>
    </row>
    <row r="55" customFormat="false" ht="18" hidden="false" customHeight="true" outlineLevel="0" collapsed="false">
      <c r="B55" s="32" t="s">
        <v>257</v>
      </c>
      <c r="C55" s="33" t="s">
        <v>955</v>
      </c>
    </row>
    <row r="56" customFormat="false" ht="18" hidden="false" customHeight="true" outlineLevel="0" collapsed="false">
      <c r="B56" s="32" t="s">
        <v>526</v>
      </c>
      <c r="C56" s="33" t="s">
        <v>956</v>
      </c>
    </row>
    <row r="58" customFormat="false" ht="21.75" hidden="false" customHeight="true" outlineLevel="0" collapsed="false">
      <c r="B58" s="4" t="s">
        <v>263</v>
      </c>
      <c r="C58" s="4"/>
    </row>
    <row r="59" customFormat="false" ht="18" hidden="false" customHeight="true" outlineLevel="0" collapsed="false">
      <c r="B59" s="31" t="s">
        <v>264</v>
      </c>
      <c r="C59" s="31" t="s">
        <v>265</v>
      </c>
    </row>
    <row r="60" customFormat="false" ht="31.5" hidden="false" customHeight="true" outlineLevel="0" collapsed="false">
      <c r="B60" s="32" t="s">
        <v>266</v>
      </c>
      <c r="C60" s="33" t="s">
        <v>957</v>
      </c>
    </row>
    <row r="61" customFormat="false" ht="45.75" hidden="false" customHeight="true" outlineLevel="0" collapsed="false">
      <c r="B61" s="32" t="s">
        <v>268</v>
      </c>
      <c r="C61" s="33" t="s">
        <v>958</v>
      </c>
    </row>
    <row r="62" customFormat="false" ht="18" hidden="false" customHeight="true" outlineLevel="0" collapsed="false">
      <c r="B62" s="34"/>
      <c r="C62" s="6" t="s">
        <v>959</v>
      </c>
    </row>
    <row r="64" customFormat="false" ht="21.75" hidden="false" customHeight="true" outlineLevel="0" collapsed="false">
      <c r="B64" s="4" t="s">
        <v>960</v>
      </c>
      <c r="C64" s="4"/>
    </row>
    <row r="65" customFormat="false" ht="115.5" hidden="false" customHeight="true" outlineLevel="0" collapsed="false">
      <c r="B65" s="34" t="s">
        <v>961</v>
      </c>
      <c r="C65" s="36" t="s">
        <v>962</v>
      </c>
    </row>
    <row r="66" customFormat="false" ht="31.5" hidden="false" customHeight="true" outlineLevel="0" collapsed="false">
      <c r="B66" s="34"/>
      <c r="C66" s="6" t="s">
        <v>963</v>
      </c>
    </row>
    <row r="67" customFormat="false" ht="102" hidden="false" customHeight="true" outlineLevel="0" collapsed="false">
      <c r="B67" s="34" t="s">
        <v>964</v>
      </c>
      <c r="C67" s="36" t="s">
        <v>965</v>
      </c>
    </row>
    <row r="68" customFormat="false" ht="18" hidden="false" customHeight="true" outlineLevel="0" collapsed="false">
      <c r="B68" s="34"/>
      <c r="C68" s="6" t="s">
        <v>966</v>
      </c>
    </row>
    <row r="69" customFormat="false" ht="18" hidden="false" customHeight="true" outlineLevel="0" collapsed="false">
      <c r="B69" s="34" t="s">
        <v>4</v>
      </c>
      <c r="C69" s="6" t="s">
        <v>967</v>
      </c>
    </row>
    <row r="70" customFormat="false" ht="18" hidden="false" customHeight="true" outlineLevel="0" collapsed="false">
      <c r="B70" s="34" t="s">
        <v>4</v>
      </c>
      <c r="C70" s="6" t="s">
        <v>968</v>
      </c>
    </row>
    <row r="71" customFormat="false" ht="18" hidden="false" customHeight="true" outlineLevel="0" collapsed="false">
      <c r="B71" s="34" t="s">
        <v>4</v>
      </c>
      <c r="C71" s="6" t="s">
        <v>969</v>
      </c>
    </row>
    <row r="72" customFormat="false" ht="87.75" hidden="false" customHeight="true" outlineLevel="0" collapsed="false">
      <c r="B72" s="34" t="s">
        <v>970</v>
      </c>
      <c r="C72" s="36" t="s">
        <v>971</v>
      </c>
    </row>
    <row r="73" customFormat="false" ht="18" hidden="false" customHeight="true" outlineLevel="0" collapsed="false">
      <c r="B73" s="31" t="s">
        <v>230</v>
      </c>
      <c r="C73" s="31" t="s">
        <v>395</v>
      </c>
    </row>
    <row r="74" customFormat="false" ht="31.5" hidden="false" customHeight="true" outlineLevel="0" collapsed="false">
      <c r="B74" s="34" t="s">
        <v>396</v>
      </c>
      <c r="C74" s="39" t="s">
        <v>972</v>
      </c>
    </row>
    <row r="75" customFormat="false" ht="18" hidden="false" customHeight="true" outlineLevel="0" collapsed="false">
      <c r="B75" s="34" t="s">
        <v>398</v>
      </c>
      <c r="C75" s="39" t="s">
        <v>973</v>
      </c>
    </row>
    <row r="76" customFormat="false" ht="18" hidden="false" customHeight="true" outlineLevel="0" collapsed="false">
      <c r="B76" s="34" t="s">
        <v>400</v>
      </c>
      <c r="C76" s="39" t="s">
        <v>974</v>
      </c>
    </row>
    <row r="77" customFormat="false" ht="18" hidden="false" customHeight="true" outlineLevel="0" collapsed="false">
      <c r="B77" s="34" t="s">
        <v>402</v>
      </c>
      <c r="C77" s="39" t="s">
        <v>975</v>
      </c>
    </row>
    <row r="78" customFormat="false" ht="18" hidden="false" customHeight="true" outlineLevel="0" collapsed="false">
      <c r="B78" s="34" t="s">
        <v>655</v>
      </c>
      <c r="C78" s="39" t="s">
        <v>976</v>
      </c>
    </row>
    <row r="79" customFormat="false" ht="18" hidden="false" customHeight="true" outlineLevel="0" collapsed="false">
      <c r="B79" s="34" t="s">
        <v>977</v>
      </c>
      <c r="C79" s="39" t="s">
        <v>978</v>
      </c>
    </row>
    <row r="80" customFormat="false" ht="18" hidden="false" customHeight="true" outlineLevel="0" collapsed="false">
      <c r="B80" s="34" t="s">
        <v>979</v>
      </c>
      <c r="C80" s="39" t="s">
        <v>980</v>
      </c>
    </row>
    <row r="81" customFormat="false" ht="18" hidden="false" customHeight="true" outlineLevel="0" collapsed="false">
      <c r="B81" s="34" t="s">
        <v>981</v>
      </c>
      <c r="C81" s="39" t="s">
        <v>982</v>
      </c>
    </row>
    <row r="82" customFormat="false" ht="73.5" hidden="false" customHeight="true" outlineLevel="0" collapsed="false">
      <c r="B82" s="34" t="s">
        <v>983</v>
      </c>
      <c r="C82" s="36" t="s">
        <v>984</v>
      </c>
    </row>
    <row r="84" customFormat="false" ht="21.75" hidden="false" customHeight="true" outlineLevel="0" collapsed="false">
      <c r="B84" s="4" t="s">
        <v>289</v>
      </c>
      <c r="C84" s="4"/>
    </row>
    <row r="85" customFormat="false" ht="18" hidden="false" customHeight="true" outlineLevel="0" collapsed="false">
      <c r="B85" s="37" t="s">
        <v>290</v>
      </c>
      <c r="C85" s="6" t="s">
        <v>985</v>
      </c>
    </row>
    <row r="86" customFormat="false" ht="18" hidden="false" customHeight="true" outlineLevel="0" collapsed="false">
      <c r="B86" s="37" t="s">
        <v>290</v>
      </c>
      <c r="C86" s="6" t="s">
        <v>294</v>
      </c>
    </row>
    <row r="87" customFormat="false" ht="18" hidden="false" customHeight="true" outlineLevel="0" collapsed="false">
      <c r="B87" s="37" t="s">
        <v>290</v>
      </c>
      <c r="C87" s="6" t="s">
        <v>986</v>
      </c>
    </row>
    <row r="88" customFormat="false" ht="18" hidden="false" customHeight="true" outlineLevel="0" collapsed="false">
      <c r="B88" s="37" t="s">
        <v>290</v>
      </c>
      <c r="C88" s="6" t="s">
        <v>987</v>
      </c>
    </row>
    <row r="89" customFormat="false" ht="18" hidden="false" customHeight="true" outlineLevel="0" collapsed="false">
      <c r="B89" s="37" t="s">
        <v>290</v>
      </c>
      <c r="C89" s="6" t="s">
        <v>988</v>
      </c>
    </row>
    <row r="91" customFormat="false" ht="21.75" hidden="false" customHeight="true" outlineLevel="0" collapsed="false">
      <c r="B91" s="4" t="s">
        <v>989</v>
      </c>
      <c r="C91" s="4"/>
    </row>
    <row r="92" customFormat="false" ht="18" hidden="false" customHeight="true" outlineLevel="0" collapsed="false">
      <c r="B92" s="31" t="s">
        <v>990</v>
      </c>
      <c r="C92" s="31" t="s">
        <v>991</v>
      </c>
    </row>
    <row r="93" customFormat="false" ht="60" hidden="false" customHeight="true" outlineLevel="0" collapsed="false">
      <c r="B93" s="32" t="s">
        <v>992</v>
      </c>
      <c r="C93" s="33" t="s">
        <v>993</v>
      </c>
    </row>
    <row r="94" customFormat="false" ht="60" hidden="false" customHeight="true" outlineLevel="0" collapsed="false">
      <c r="B94" s="32" t="s">
        <v>994</v>
      </c>
      <c r="C94" s="33" t="s">
        <v>995</v>
      </c>
    </row>
    <row r="95" customFormat="false" ht="60" hidden="false" customHeight="true" outlineLevel="0" collapsed="false">
      <c r="B95" s="32" t="s">
        <v>996</v>
      </c>
      <c r="C95" s="33" t="s">
        <v>997</v>
      </c>
    </row>
    <row r="96" customFormat="false" ht="60" hidden="false" customHeight="true" outlineLevel="0" collapsed="false">
      <c r="B96" s="32" t="s">
        <v>998</v>
      </c>
      <c r="C96" s="33" t="s">
        <v>999</v>
      </c>
    </row>
    <row r="97" customFormat="false" ht="60" hidden="false" customHeight="true" outlineLevel="0" collapsed="false">
      <c r="B97" s="32" t="s">
        <v>1000</v>
      </c>
      <c r="C97" s="33" t="s">
        <v>1001</v>
      </c>
    </row>
    <row r="99" customFormat="false" ht="15" hidden="false" customHeight="false" outlineLevel="0" collapsed="false">
      <c r="B99" s="30" t="s">
        <v>295</v>
      </c>
      <c r="C99" s="30" t="s">
        <v>1002</v>
      </c>
    </row>
  </sheetData>
  <mergeCells count="9">
    <mergeCell ref="B7:C7"/>
    <mergeCell ref="B10:C10"/>
    <mergeCell ref="B16:C16"/>
    <mergeCell ref="B23:C23"/>
    <mergeCell ref="B46:C46"/>
    <mergeCell ref="B58:C58"/>
    <mergeCell ref="B64:C64"/>
    <mergeCell ref="B84:C84"/>
    <mergeCell ref="B91:C91"/>
  </mergeCells>
  <hyperlinks>
    <hyperlink ref="B1" r:id="rId1" location="'Jadwal'!A1" display="◀ kembali ke Jadwal"/>
    <hyperlink ref="C99" r:id="rId2" location="'Kuis &amp; Kunci'!A1" display="lihat sheet &quot;Kuis &amp; Kunci&quot; dan file 02_STUDY_CASE/Day14_Capstone_ZPP001L_Slitting_Packing.m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B1:E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4" min="4" style="0" width="55"/>
    <col collapsed="false" customWidth="true" hidden="false" outlineLevel="0" max="5" min="5" style="0" width="70"/>
  </cols>
  <sheetData>
    <row r="1" customFormat="false" ht="7.5" hidden="false" customHeight="true" outlineLevel="0" collapsed="false"/>
    <row r="2" customFormat="false" ht="30" hidden="false" customHeight="true" outlineLevel="0" collapsed="false">
      <c r="B2" s="1" t="s">
        <v>1003</v>
      </c>
    </row>
    <row r="3" customFormat="false" ht="15" hidden="false" customHeight="false" outlineLevel="0" collapsed="false">
      <c r="B3" s="2" t="s">
        <v>1004</v>
      </c>
    </row>
    <row r="4" customFormat="false" ht="6" hidden="false" customHeight="true" outlineLevel="0" collapsed="false">
      <c r="B4" s="3"/>
      <c r="C4" s="3"/>
      <c r="D4" s="3"/>
      <c r="E4" s="3"/>
    </row>
    <row r="6" customFormat="false" ht="30" hidden="false" customHeight="true" outlineLevel="0" collapsed="false">
      <c r="B6" s="14" t="s">
        <v>42</v>
      </c>
      <c r="C6" s="14" t="s">
        <v>1005</v>
      </c>
      <c r="D6" s="14" t="s">
        <v>1006</v>
      </c>
      <c r="E6" s="14" t="s">
        <v>1007</v>
      </c>
    </row>
    <row r="7" customFormat="false" ht="19.5" hidden="false" customHeight="true" outlineLevel="0" collapsed="false">
      <c r="B7" s="40" t="s">
        <v>223</v>
      </c>
      <c r="C7" s="40"/>
      <c r="D7" s="40"/>
      <c r="E7" s="40"/>
    </row>
    <row r="8" customFormat="false" ht="31.5" hidden="false" customHeight="true" outlineLevel="0" collapsed="false">
      <c r="B8" s="41" t="s">
        <v>54</v>
      </c>
      <c r="C8" s="42" t="n">
        <v>1</v>
      </c>
      <c r="D8" s="43" t="s">
        <v>1008</v>
      </c>
      <c r="E8" s="43" t="s">
        <v>1009</v>
      </c>
    </row>
    <row r="9" customFormat="false" ht="18" hidden="false" customHeight="true" outlineLevel="0" collapsed="false">
      <c r="B9" s="41" t="s">
        <v>54</v>
      </c>
      <c r="C9" s="42" t="n">
        <v>2</v>
      </c>
      <c r="D9" s="43" t="s">
        <v>1010</v>
      </c>
      <c r="E9" s="43" t="s">
        <v>1011</v>
      </c>
    </row>
    <row r="10" customFormat="false" ht="31.5" hidden="false" customHeight="true" outlineLevel="0" collapsed="false">
      <c r="B10" s="41" t="s">
        <v>54</v>
      </c>
      <c r="C10" s="42" t="n">
        <v>3</v>
      </c>
      <c r="D10" s="43" t="s">
        <v>1012</v>
      </c>
      <c r="E10" s="43" t="s">
        <v>1013</v>
      </c>
    </row>
    <row r="11" customFormat="false" ht="31.5" hidden="false" customHeight="true" outlineLevel="0" collapsed="false">
      <c r="B11" s="41" t="s">
        <v>54</v>
      </c>
      <c r="C11" s="42" t="n">
        <v>4</v>
      </c>
      <c r="D11" s="43" t="s">
        <v>1014</v>
      </c>
      <c r="E11" s="43" t="s">
        <v>1015</v>
      </c>
    </row>
    <row r="12" customFormat="false" ht="18" hidden="false" customHeight="true" outlineLevel="0" collapsed="false">
      <c r="C12" s="29" t="s">
        <v>53</v>
      </c>
      <c r="D12" s="44" t="s">
        <v>1016</v>
      </c>
      <c r="E12" s="44"/>
    </row>
    <row r="13" customFormat="false" ht="19.5" hidden="false" customHeight="true" outlineLevel="0" collapsed="false">
      <c r="B13" s="40" t="s">
        <v>297</v>
      </c>
      <c r="C13" s="40"/>
      <c r="D13" s="40"/>
      <c r="E13" s="40"/>
    </row>
    <row r="14" customFormat="false" ht="31.5" hidden="false" customHeight="true" outlineLevel="0" collapsed="false">
      <c r="B14" s="41" t="s">
        <v>63</v>
      </c>
      <c r="C14" s="42" t="n">
        <v>1</v>
      </c>
      <c r="D14" s="43" t="s">
        <v>1017</v>
      </c>
      <c r="E14" s="43" t="s">
        <v>1018</v>
      </c>
    </row>
    <row r="15" customFormat="false" ht="45.75" hidden="false" customHeight="true" outlineLevel="0" collapsed="false">
      <c r="B15" s="41" t="s">
        <v>63</v>
      </c>
      <c r="C15" s="42" t="n">
        <v>2</v>
      </c>
      <c r="D15" s="43" t="s">
        <v>1019</v>
      </c>
      <c r="E15" s="43" t="s">
        <v>1020</v>
      </c>
    </row>
    <row r="16" customFormat="false" ht="31.5" hidden="false" customHeight="true" outlineLevel="0" collapsed="false">
      <c r="B16" s="41" t="s">
        <v>63</v>
      </c>
      <c r="C16" s="42" t="n">
        <v>3</v>
      </c>
      <c r="D16" s="43" t="s">
        <v>1021</v>
      </c>
      <c r="E16" s="43" t="s">
        <v>1022</v>
      </c>
    </row>
    <row r="17" customFormat="false" ht="18" hidden="false" customHeight="true" outlineLevel="0" collapsed="false">
      <c r="C17" s="29" t="s">
        <v>53</v>
      </c>
      <c r="D17" s="44" t="s">
        <v>1023</v>
      </c>
      <c r="E17" s="44"/>
    </row>
    <row r="18" customFormat="false" ht="19.5" hidden="false" customHeight="true" outlineLevel="0" collapsed="false">
      <c r="B18" s="40" t="s">
        <v>351</v>
      </c>
      <c r="C18" s="40"/>
      <c r="D18" s="40"/>
      <c r="E18" s="40"/>
    </row>
    <row r="19" customFormat="false" ht="31.5" hidden="false" customHeight="true" outlineLevel="0" collapsed="false">
      <c r="B19" s="41" t="s">
        <v>69</v>
      </c>
      <c r="C19" s="42" t="n">
        <v>1</v>
      </c>
      <c r="D19" s="43" t="s">
        <v>1024</v>
      </c>
      <c r="E19" s="43" t="s">
        <v>1025</v>
      </c>
    </row>
    <row r="20" customFormat="false" ht="45.75" hidden="false" customHeight="true" outlineLevel="0" collapsed="false">
      <c r="B20" s="41" t="s">
        <v>69</v>
      </c>
      <c r="C20" s="42" t="n">
        <v>2</v>
      </c>
      <c r="D20" s="43" t="s">
        <v>1026</v>
      </c>
      <c r="E20" s="43" t="s">
        <v>1027</v>
      </c>
    </row>
    <row r="21" customFormat="false" ht="31.5" hidden="false" customHeight="true" outlineLevel="0" collapsed="false">
      <c r="B21" s="41" t="s">
        <v>69</v>
      </c>
      <c r="C21" s="42" t="n">
        <v>3</v>
      </c>
      <c r="D21" s="43" t="s">
        <v>1028</v>
      </c>
      <c r="E21" s="43" t="s">
        <v>1029</v>
      </c>
    </row>
    <row r="22" customFormat="false" ht="31.5" hidden="false" customHeight="true" outlineLevel="0" collapsed="false">
      <c r="B22" s="41" t="s">
        <v>69</v>
      </c>
      <c r="C22" s="42" t="n">
        <v>4</v>
      </c>
      <c r="D22" s="43" t="s">
        <v>1030</v>
      </c>
      <c r="E22" s="43" t="s">
        <v>1031</v>
      </c>
    </row>
    <row r="23" customFormat="false" ht="18" hidden="false" customHeight="true" outlineLevel="0" collapsed="false">
      <c r="C23" s="29" t="s">
        <v>53</v>
      </c>
      <c r="D23" s="44" t="s">
        <v>1032</v>
      </c>
      <c r="E23" s="44"/>
    </row>
    <row r="24" customFormat="false" ht="19.5" hidden="false" customHeight="true" outlineLevel="0" collapsed="false">
      <c r="B24" s="40" t="s">
        <v>412</v>
      </c>
      <c r="C24" s="40"/>
      <c r="D24" s="40"/>
      <c r="E24" s="40"/>
    </row>
    <row r="25" customFormat="false" ht="18" hidden="false" customHeight="true" outlineLevel="0" collapsed="false">
      <c r="B25" s="41" t="s">
        <v>73</v>
      </c>
      <c r="C25" s="42" t="n">
        <v>1</v>
      </c>
      <c r="D25" s="43" t="s">
        <v>1033</v>
      </c>
      <c r="E25" s="43" t="s">
        <v>1034</v>
      </c>
    </row>
    <row r="26" customFormat="false" ht="31.5" hidden="false" customHeight="true" outlineLevel="0" collapsed="false">
      <c r="B26" s="41" t="s">
        <v>73</v>
      </c>
      <c r="C26" s="42" t="n">
        <v>2</v>
      </c>
      <c r="D26" s="43" t="s">
        <v>1035</v>
      </c>
      <c r="E26" s="43" t="s">
        <v>1036</v>
      </c>
    </row>
    <row r="27" customFormat="false" ht="31.5" hidden="false" customHeight="true" outlineLevel="0" collapsed="false">
      <c r="B27" s="41" t="s">
        <v>73</v>
      </c>
      <c r="C27" s="42" t="n">
        <v>3</v>
      </c>
      <c r="D27" s="43" t="s">
        <v>1037</v>
      </c>
      <c r="E27" s="43" t="s">
        <v>1038</v>
      </c>
    </row>
    <row r="28" customFormat="false" ht="19.5" hidden="false" customHeight="true" outlineLevel="0" collapsed="false">
      <c r="B28" s="40" t="s">
        <v>448</v>
      </c>
      <c r="C28" s="40"/>
      <c r="D28" s="40"/>
      <c r="E28" s="40"/>
    </row>
    <row r="29" customFormat="false" ht="31.5" hidden="false" customHeight="true" outlineLevel="0" collapsed="false">
      <c r="B29" s="41" t="s">
        <v>77</v>
      </c>
      <c r="C29" s="42" t="n">
        <v>1</v>
      </c>
      <c r="D29" s="43" t="s">
        <v>1039</v>
      </c>
      <c r="E29" s="43" t="s">
        <v>1040</v>
      </c>
    </row>
    <row r="30" customFormat="false" ht="31.5" hidden="false" customHeight="true" outlineLevel="0" collapsed="false">
      <c r="B30" s="41" t="s">
        <v>77</v>
      </c>
      <c r="C30" s="42" t="n">
        <v>2</v>
      </c>
      <c r="D30" s="43" t="s">
        <v>1041</v>
      </c>
      <c r="E30" s="43" t="s">
        <v>1042</v>
      </c>
    </row>
    <row r="31" customFormat="false" ht="18" hidden="false" customHeight="true" outlineLevel="0" collapsed="false">
      <c r="B31" s="41" t="s">
        <v>77</v>
      </c>
      <c r="C31" s="42" t="n">
        <v>3</v>
      </c>
      <c r="D31" s="43" t="s">
        <v>1043</v>
      </c>
      <c r="E31" s="43" t="s">
        <v>1044</v>
      </c>
    </row>
    <row r="32" customFormat="false" ht="60" hidden="false" customHeight="true" outlineLevel="0" collapsed="false">
      <c r="C32" s="29" t="s">
        <v>53</v>
      </c>
      <c r="D32" s="44" t="s">
        <v>1045</v>
      </c>
      <c r="E32" s="44"/>
    </row>
    <row r="33" customFormat="false" ht="19.5" hidden="false" customHeight="true" outlineLevel="0" collapsed="false">
      <c r="B33" s="40" t="s">
        <v>491</v>
      </c>
      <c r="C33" s="40"/>
      <c r="D33" s="40"/>
      <c r="E33" s="40"/>
    </row>
    <row r="34" customFormat="false" ht="18" hidden="false" customHeight="true" outlineLevel="0" collapsed="false">
      <c r="B34" s="41" t="s">
        <v>82</v>
      </c>
      <c r="C34" s="42" t="n">
        <v>1</v>
      </c>
      <c r="D34" s="43" t="s">
        <v>1046</v>
      </c>
      <c r="E34" s="43" t="s">
        <v>1047</v>
      </c>
    </row>
    <row r="35" customFormat="false" ht="31.5" hidden="false" customHeight="true" outlineLevel="0" collapsed="false">
      <c r="B35" s="41" t="s">
        <v>82</v>
      </c>
      <c r="C35" s="42" t="n">
        <v>2</v>
      </c>
      <c r="D35" s="43" t="s">
        <v>1048</v>
      </c>
      <c r="E35" s="43" t="s">
        <v>1049</v>
      </c>
    </row>
    <row r="36" customFormat="false" ht="45.75" hidden="false" customHeight="true" outlineLevel="0" collapsed="false">
      <c r="B36" s="41" t="s">
        <v>82</v>
      </c>
      <c r="C36" s="42" t="n">
        <v>3</v>
      </c>
      <c r="D36" s="43" t="s">
        <v>1050</v>
      </c>
      <c r="E36" s="43" t="s">
        <v>1051</v>
      </c>
    </row>
    <row r="37" customFormat="false" ht="19.5" hidden="false" customHeight="true" outlineLevel="0" collapsed="false">
      <c r="B37" s="40" t="s">
        <v>550</v>
      </c>
      <c r="C37" s="40"/>
      <c r="D37" s="40"/>
      <c r="E37" s="40"/>
    </row>
    <row r="38" customFormat="false" ht="31.5" hidden="false" customHeight="true" outlineLevel="0" collapsed="false">
      <c r="B38" s="41" t="s">
        <v>88</v>
      </c>
      <c r="C38" s="42" t="n">
        <v>1</v>
      </c>
      <c r="D38" s="43" t="s">
        <v>1052</v>
      </c>
      <c r="E38" s="43" t="s">
        <v>1053</v>
      </c>
    </row>
    <row r="39" customFormat="false" ht="31.5" hidden="false" customHeight="true" outlineLevel="0" collapsed="false">
      <c r="B39" s="41" t="s">
        <v>88</v>
      </c>
      <c r="C39" s="42" t="n">
        <v>2</v>
      </c>
      <c r="D39" s="43" t="s">
        <v>1054</v>
      </c>
      <c r="E39" s="43" t="s">
        <v>1055</v>
      </c>
    </row>
    <row r="40" customFormat="false" ht="31.5" hidden="false" customHeight="true" outlineLevel="0" collapsed="false">
      <c r="B40" s="41" t="s">
        <v>88</v>
      </c>
      <c r="C40" s="42" t="n">
        <v>3</v>
      </c>
      <c r="D40" s="43" t="s">
        <v>1056</v>
      </c>
      <c r="E40" s="43" t="s">
        <v>1057</v>
      </c>
    </row>
    <row r="41" customFormat="false" ht="19.5" hidden="false" customHeight="true" outlineLevel="0" collapsed="false">
      <c r="B41" s="40" t="s">
        <v>592</v>
      </c>
      <c r="C41" s="40"/>
      <c r="D41" s="40"/>
      <c r="E41" s="40"/>
    </row>
    <row r="42" customFormat="false" ht="18" hidden="false" customHeight="true" outlineLevel="0" collapsed="false">
      <c r="B42" s="41" t="s">
        <v>93</v>
      </c>
      <c r="C42" s="42" t="n">
        <v>1</v>
      </c>
      <c r="D42" s="43" t="s">
        <v>1058</v>
      </c>
      <c r="E42" s="43" t="s">
        <v>1059</v>
      </c>
    </row>
    <row r="43" customFormat="false" ht="18" hidden="false" customHeight="true" outlineLevel="0" collapsed="false">
      <c r="B43" s="41" t="s">
        <v>93</v>
      </c>
      <c r="C43" s="42" t="n">
        <v>2</v>
      </c>
      <c r="D43" s="43" t="s">
        <v>1060</v>
      </c>
      <c r="E43" s="43" t="s">
        <v>1061</v>
      </c>
    </row>
    <row r="44" customFormat="false" ht="31.5" hidden="false" customHeight="true" outlineLevel="0" collapsed="false">
      <c r="B44" s="41" t="s">
        <v>93</v>
      </c>
      <c r="C44" s="42" t="n">
        <v>3</v>
      </c>
      <c r="D44" s="43" t="s">
        <v>1062</v>
      </c>
      <c r="E44" s="43" t="s">
        <v>1063</v>
      </c>
    </row>
    <row r="45" customFormat="false" ht="19.5" hidden="false" customHeight="true" outlineLevel="0" collapsed="false">
      <c r="B45" s="40" t="s">
        <v>621</v>
      </c>
      <c r="C45" s="40"/>
      <c r="D45" s="40"/>
      <c r="E45" s="40"/>
    </row>
    <row r="46" customFormat="false" ht="31.5" hidden="false" customHeight="true" outlineLevel="0" collapsed="false">
      <c r="B46" s="41" t="s">
        <v>99</v>
      </c>
      <c r="C46" s="42" t="n">
        <v>1</v>
      </c>
      <c r="D46" s="43" t="s">
        <v>1064</v>
      </c>
      <c r="E46" s="43" t="s">
        <v>1065</v>
      </c>
    </row>
    <row r="47" customFormat="false" ht="31.5" hidden="false" customHeight="true" outlineLevel="0" collapsed="false">
      <c r="B47" s="41" t="s">
        <v>99</v>
      </c>
      <c r="C47" s="42" t="n">
        <v>2</v>
      </c>
      <c r="D47" s="43" t="s">
        <v>1066</v>
      </c>
      <c r="E47" s="43" t="s">
        <v>1067</v>
      </c>
    </row>
    <row r="48" customFormat="false" ht="31.5" hidden="false" customHeight="true" outlineLevel="0" collapsed="false">
      <c r="B48" s="41" t="s">
        <v>99</v>
      </c>
      <c r="C48" s="42" t="n">
        <v>3</v>
      </c>
      <c r="D48" s="43" t="s">
        <v>1068</v>
      </c>
      <c r="E48" s="43" t="s">
        <v>1069</v>
      </c>
    </row>
    <row r="49" customFormat="false" ht="31.5" hidden="false" customHeight="true" outlineLevel="0" collapsed="false">
      <c r="B49" s="41" t="s">
        <v>99</v>
      </c>
      <c r="C49" s="42" t="n">
        <v>4</v>
      </c>
      <c r="D49" s="43" t="s">
        <v>1070</v>
      </c>
      <c r="E49" s="43" t="s">
        <v>1071</v>
      </c>
    </row>
    <row r="50" customFormat="false" ht="18" hidden="false" customHeight="true" outlineLevel="0" collapsed="false">
      <c r="C50" s="29" t="s">
        <v>53</v>
      </c>
      <c r="D50" s="44" t="s">
        <v>1072</v>
      </c>
      <c r="E50" s="44"/>
    </row>
    <row r="51" customFormat="false" ht="19.5" hidden="false" customHeight="true" outlineLevel="0" collapsed="false">
      <c r="B51" s="40" t="s">
        <v>665</v>
      </c>
      <c r="C51" s="40"/>
      <c r="D51" s="40"/>
      <c r="E51" s="40"/>
    </row>
    <row r="52" customFormat="false" ht="31.5" hidden="false" customHeight="true" outlineLevel="0" collapsed="false">
      <c r="B52" s="41" t="s">
        <v>104</v>
      </c>
      <c r="C52" s="42" t="n">
        <v>1</v>
      </c>
      <c r="D52" s="43" t="s">
        <v>1073</v>
      </c>
      <c r="E52" s="43" t="s">
        <v>1074</v>
      </c>
    </row>
    <row r="53" customFormat="false" ht="18" hidden="false" customHeight="true" outlineLevel="0" collapsed="false">
      <c r="B53" s="41" t="s">
        <v>104</v>
      </c>
      <c r="C53" s="42" t="n">
        <v>2</v>
      </c>
      <c r="D53" s="43" t="s">
        <v>1075</v>
      </c>
      <c r="E53" s="43" t="s">
        <v>1076</v>
      </c>
    </row>
    <row r="54" customFormat="false" ht="18" hidden="false" customHeight="true" outlineLevel="0" collapsed="false">
      <c r="B54" s="41" t="s">
        <v>104</v>
      </c>
      <c r="C54" s="42" t="n">
        <v>3</v>
      </c>
      <c r="D54" s="43" t="s">
        <v>1077</v>
      </c>
      <c r="E54" s="43" t="s">
        <v>1078</v>
      </c>
    </row>
    <row r="55" customFormat="false" ht="19.5" hidden="false" customHeight="true" outlineLevel="0" collapsed="false">
      <c r="B55" s="40" t="s">
        <v>715</v>
      </c>
      <c r="C55" s="40"/>
      <c r="D55" s="40"/>
      <c r="E55" s="40"/>
    </row>
    <row r="56" customFormat="false" ht="18" hidden="false" customHeight="true" outlineLevel="0" collapsed="false">
      <c r="B56" s="41" t="s">
        <v>109</v>
      </c>
      <c r="C56" s="42" t="n">
        <v>1</v>
      </c>
      <c r="D56" s="43" t="s">
        <v>1079</v>
      </c>
      <c r="E56" s="43" t="s">
        <v>1080</v>
      </c>
    </row>
    <row r="57" customFormat="false" ht="31.5" hidden="false" customHeight="true" outlineLevel="0" collapsed="false">
      <c r="B57" s="41" t="s">
        <v>109</v>
      </c>
      <c r="C57" s="42" t="n">
        <v>2</v>
      </c>
      <c r="D57" s="43" t="s">
        <v>1081</v>
      </c>
      <c r="E57" s="43" t="s">
        <v>1082</v>
      </c>
    </row>
    <row r="58" customFormat="false" ht="31.5" hidden="false" customHeight="true" outlineLevel="0" collapsed="false">
      <c r="B58" s="41" t="s">
        <v>109</v>
      </c>
      <c r="C58" s="42" t="n">
        <v>3</v>
      </c>
      <c r="D58" s="43" t="s">
        <v>1083</v>
      </c>
      <c r="E58" s="43" t="s">
        <v>1084</v>
      </c>
    </row>
    <row r="59" customFormat="false" ht="31.5" hidden="false" customHeight="true" outlineLevel="0" collapsed="false">
      <c r="C59" s="29" t="s">
        <v>53</v>
      </c>
      <c r="D59" s="44" t="s">
        <v>1085</v>
      </c>
      <c r="E59" s="44"/>
    </row>
    <row r="60" customFormat="false" ht="19.5" hidden="false" customHeight="true" outlineLevel="0" collapsed="false">
      <c r="B60" s="40" t="s">
        <v>761</v>
      </c>
      <c r="C60" s="40"/>
      <c r="D60" s="40"/>
      <c r="E60" s="40"/>
    </row>
    <row r="61" customFormat="false" ht="31.5" hidden="false" customHeight="true" outlineLevel="0" collapsed="false">
      <c r="B61" s="41" t="s">
        <v>114</v>
      </c>
      <c r="C61" s="42" t="n">
        <v>1</v>
      </c>
      <c r="D61" s="43" t="s">
        <v>1086</v>
      </c>
      <c r="E61" s="43" t="s">
        <v>1087</v>
      </c>
    </row>
    <row r="62" customFormat="false" ht="31.5" hidden="false" customHeight="true" outlineLevel="0" collapsed="false">
      <c r="B62" s="41" t="s">
        <v>114</v>
      </c>
      <c r="C62" s="42" t="n">
        <v>2</v>
      </c>
      <c r="D62" s="43" t="s">
        <v>1088</v>
      </c>
      <c r="E62" s="43" t="s">
        <v>1089</v>
      </c>
    </row>
    <row r="63" customFormat="false" ht="31.5" hidden="false" customHeight="true" outlineLevel="0" collapsed="false">
      <c r="B63" s="41" t="s">
        <v>114</v>
      </c>
      <c r="C63" s="42" t="n">
        <v>3</v>
      </c>
      <c r="D63" s="43" t="s">
        <v>1090</v>
      </c>
      <c r="E63" s="43" t="s">
        <v>1091</v>
      </c>
    </row>
    <row r="64" customFormat="false" ht="45.75" hidden="false" customHeight="true" outlineLevel="0" collapsed="false">
      <c r="B64" s="41" t="s">
        <v>114</v>
      </c>
      <c r="C64" s="42" t="n">
        <v>4</v>
      </c>
      <c r="D64" s="43" t="s">
        <v>1092</v>
      </c>
      <c r="E64" s="43" t="s">
        <v>1093</v>
      </c>
    </row>
    <row r="65" customFormat="false" ht="19.5" hidden="false" customHeight="true" outlineLevel="0" collapsed="false">
      <c r="B65" s="40" t="s">
        <v>831</v>
      </c>
      <c r="C65" s="40"/>
      <c r="D65" s="40"/>
      <c r="E65" s="40"/>
    </row>
    <row r="66" customFormat="false" ht="45.75" hidden="false" customHeight="true" outlineLevel="0" collapsed="false">
      <c r="B66" s="41" t="s">
        <v>120</v>
      </c>
      <c r="C66" s="42" t="n">
        <v>1</v>
      </c>
      <c r="D66" s="43" t="s">
        <v>1094</v>
      </c>
      <c r="E66" s="43" t="s">
        <v>1095</v>
      </c>
    </row>
    <row r="67" customFormat="false" ht="31.5" hidden="false" customHeight="true" outlineLevel="0" collapsed="false">
      <c r="B67" s="41" t="s">
        <v>120</v>
      </c>
      <c r="C67" s="42" t="n">
        <v>2</v>
      </c>
      <c r="D67" s="43" t="s">
        <v>1096</v>
      </c>
      <c r="E67" s="43" t="s">
        <v>1097</v>
      </c>
    </row>
    <row r="68" customFormat="false" ht="31.5" hidden="false" customHeight="true" outlineLevel="0" collapsed="false">
      <c r="B68" s="41" t="s">
        <v>120</v>
      </c>
      <c r="C68" s="42" t="n">
        <v>3</v>
      </c>
      <c r="D68" s="43" t="s">
        <v>1098</v>
      </c>
      <c r="E68" s="43" t="s">
        <v>1099</v>
      </c>
    </row>
    <row r="69" customFormat="false" ht="45.75" hidden="false" customHeight="true" outlineLevel="0" collapsed="false">
      <c r="B69" s="41" t="s">
        <v>120</v>
      </c>
      <c r="C69" s="42" t="n">
        <v>4</v>
      </c>
      <c r="D69" s="43" t="s">
        <v>1100</v>
      </c>
      <c r="E69" s="43" t="s">
        <v>1101</v>
      </c>
    </row>
    <row r="70" customFormat="false" ht="31.5" hidden="false" customHeight="true" outlineLevel="0" collapsed="false">
      <c r="C70" s="29" t="s">
        <v>53</v>
      </c>
      <c r="D70" s="44" t="s">
        <v>1102</v>
      </c>
      <c r="E70" s="44"/>
    </row>
    <row r="71" customFormat="false" ht="19.5" hidden="false" customHeight="true" outlineLevel="0" collapsed="false">
      <c r="B71" s="40" t="s">
        <v>897</v>
      </c>
      <c r="C71" s="40"/>
      <c r="D71" s="40"/>
      <c r="E71" s="40"/>
    </row>
    <row r="72" customFormat="false" ht="45.75" hidden="false" customHeight="true" outlineLevel="0" collapsed="false">
      <c r="B72" s="41" t="s">
        <v>127</v>
      </c>
      <c r="C72" s="42" t="n">
        <v>1</v>
      </c>
      <c r="D72" s="43" t="s">
        <v>1103</v>
      </c>
      <c r="E72" s="43" t="s">
        <v>1104</v>
      </c>
    </row>
    <row r="73" customFormat="false" ht="31.5" hidden="false" customHeight="true" outlineLevel="0" collapsed="false">
      <c r="B73" s="41" t="s">
        <v>127</v>
      </c>
      <c r="C73" s="42" t="n">
        <v>2</v>
      </c>
      <c r="D73" s="43" t="s">
        <v>1105</v>
      </c>
      <c r="E73" s="43" t="s">
        <v>1106</v>
      </c>
    </row>
    <row r="74" customFormat="false" ht="60" hidden="false" customHeight="true" outlineLevel="0" collapsed="false">
      <c r="B74" s="41" t="s">
        <v>127</v>
      </c>
      <c r="C74" s="42" t="n">
        <v>3</v>
      </c>
      <c r="D74" s="43" t="s">
        <v>1107</v>
      </c>
      <c r="E74" s="43" t="s">
        <v>1108</v>
      </c>
    </row>
    <row r="75" customFormat="false" ht="45.75" hidden="false" customHeight="true" outlineLevel="0" collapsed="false">
      <c r="B75" s="41" t="s">
        <v>127</v>
      </c>
      <c r="C75" s="42" t="n">
        <v>4</v>
      </c>
      <c r="D75" s="43" t="s">
        <v>1109</v>
      </c>
      <c r="E75" s="43" t="s">
        <v>1110</v>
      </c>
    </row>
    <row r="76" customFormat="false" ht="31.5" hidden="false" customHeight="true" outlineLevel="0" collapsed="false">
      <c r="C76" s="29" t="s">
        <v>53</v>
      </c>
      <c r="D76" s="44" t="s">
        <v>1111</v>
      </c>
      <c r="E76" s="44"/>
    </row>
  </sheetData>
  <mergeCells count="22">
    <mergeCell ref="B7:E7"/>
    <mergeCell ref="D12:E12"/>
    <mergeCell ref="B13:E13"/>
    <mergeCell ref="D17:E17"/>
    <mergeCell ref="B18:E18"/>
    <mergeCell ref="D23:E23"/>
    <mergeCell ref="B24:E24"/>
    <mergeCell ref="B28:E28"/>
    <mergeCell ref="D32:E32"/>
    <mergeCell ref="B33:E33"/>
    <mergeCell ref="B37:E37"/>
    <mergeCell ref="B41:E41"/>
    <mergeCell ref="B45:E45"/>
    <mergeCell ref="D50:E50"/>
    <mergeCell ref="B51:E51"/>
    <mergeCell ref="B55:E55"/>
    <mergeCell ref="D59:E59"/>
    <mergeCell ref="B60:E60"/>
    <mergeCell ref="B65:E65"/>
    <mergeCell ref="D70:E70"/>
    <mergeCell ref="B71:E71"/>
    <mergeCell ref="D76:E76"/>
  </mergeCells>
  <hyperlinks>
    <hyperlink ref="B7" r:id="rId1" location="'Day 01'!A1" display="Day 01 — Report Purchase Order Sederhana"/>
    <hyperlink ref="B13" r:id="rId2" location="'Day 02'!A1" display="Day 02 — Report PO Monitoring (Join + Agregasi)"/>
    <hyperlink ref="B18" r:id="rId3" location="'Day 03'!A1" display="Day 03 — Program Transaksi: Transfer Posting"/>
    <hyperlink ref="B24" r:id="rId4" location="'Day 04'!A1" display="Day 04 — Report + Posting dalam 1 Program"/>
    <hyperlink ref="B28" r:id="rId5" location="'Day 05'!A1" display="Day 05 — PO Exception Email"/>
    <hyperlink ref="B33" r:id="rId6" location="'Day 06'!A1" display="Day 06 — Status Production Order &amp; Auto TECO"/>
    <hyperlink ref="B37" r:id="rId7" location="'Day 07'!A1" display="Day 07 — Movement Type, Reversal &amp; GI JR Closing"/>
    <hyperlink ref="B41" r:id="rId8" location="'Day 08'!A1" display="Day 08 — Batch Characteristic (CABN/AUSP)"/>
    <hyperlink ref="B45" r:id="rId9" location="'Day 09'!A1" display="Day 09 — Develop Aplikasi Z: Tabel, Lock &amp; Log"/>
    <hyperlink ref="B51" r:id="rId10" location="'Day 10'!A1" display="Day 10 — FICO: Upload Faktur &amp; Jejak Audit"/>
    <hyperlink ref="B55" r:id="rId11" location="'Day 11'!A1" display="Day 11 — QM: Pending Lot + Mass Usage Decision"/>
    <hyperlink ref="B60" r:id="rId12" location="'Day 12'!A1" display="Day 12 — Performance: Index &amp; Data Besar"/>
    <hyperlink ref="B65" r:id="rId13" location="'Day 13'!A1" display="Day 13 — Transaksi Sulit: Process Order End-to-End"/>
    <hyperlink ref="B71" r:id="rId14" location="'Day 14'!A1" display="Day 14 — Capstone: ZPP001L Slitting + Pack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true"/>
  </sheetPr>
  <dimension ref="B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42"/>
  </cols>
  <sheetData>
    <row r="1" customFormat="false" ht="7.5" hidden="false" customHeight="true" outlineLevel="0" collapsed="false"/>
    <row r="2" customFormat="false" ht="30" hidden="false" customHeight="true" outlineLevel="0" collapsed="false">
      <c r="B2" s="1" t="s">
        <v>1112</v>
      </c>
    </row>
    <row r="3" customFormat="false" ht="15" hidden="false" customHeight="false" outlineLevel="0" collapsed="false">
      <c r="B3" s="2" t="s">
        <v>1113</v>
      </c>
    </row>
    <row r="4" customFormat="false" ht="6" hidden="false" customHeight="true" outlineLevel="0" collapsed="false">
      <c r="B4" s="3"/>
      <c r="C4" s="3"/>
      <c r="D4" s="3"/>
      <c r="E4" s="3"/>
      <c r="F4" s="3"/>
    </row>
    <row r="6" customFormat="false" ht="30" hidden="false" customHeight="true" outlineLevel="0" collapsed="false">
      <c r="B6" s="14" t="s">
        <v>1114</v>
      </c>
      <c r="C6" s="14" t="s">
        <v>1115</v>
      </c>
      <c r="D6" s="14" t="s">
        <v>1116</v>
      </c>
      <c r="E6" s="14" t="s">
        <v>559</v>
      </c>
      <c r="F6" s="14" t="s">
        <v>1117</v>
      </c>
    </row>
    <row r="7" customFormat="false" ht="60" hidden="false" customHeight="true" outlineLevel="0" collapsed="false">
      <c r="B7" s="45" t="s">
        <v>1118</v>
      </c>
      <c r="C7" s="43" t="s">
        <v>1119</v>
      </c>
      <c r="D7" s="42" t="s">
        <v>148</v>
      </c>
      <c r="E7" s="46" t="s">
        <v>1120</v>
      </c>
      <c r="F7" s="43" t="s">
        <v>1121</v>
      </c>
    </row>
    <row r="8" customFormat="false" ht="60" hidden="false" customHeight="true" outlineLevel="0" collapsed="false">
      <c r="B8" s="45" t="s">
        <v>1122</v>
      </c>
      <c r="C8" s="43" t="s">
        <v>1123</v>
      </c>
      <c r="D8" s="42" t="s">
        <v>154</v>
      </c>
      <c r="E8" s="47" t="s">
        <v>1124</v>
      </c>
      <c r="F8" s="43" t="s">
        <v>1125</v>
      </c>
    </row>
    <row r="9" customFormat="false" ht="60" hidden="false" customHeight="true" outlineLevel="0" collapsed="false">
      <c r="B9" s="45" t="s">
        <v>1126</v>
      </c>
      <c r="C9" s="43" t="s">
        <v>1127</v>
      </c>
      <c r="D9" s="42" t="s">
        <v>154</v>
      </c>
      <c r="E9" s="47" t="s">
        <v>1124</v>
      </c>
      <c r="F9" s="43" t="s">
        <v>1128</v>
      </c>
    </row>
    <row r="10" customFormat="false" ht="60" hidden="false" customHeight="true" outlineLevel="0" collapsed="false">
      <c r="B10" s="45" t="s">
        <v>1129</v>
      </c>
      <c r="C10" s="43" t="s">
        <v>1130</v>
      </c>
      <c r="D10" s="42" t="s">
        <v>154</v>
      </c>
      <c r="E10" s="47" t="s">
        <v>1124</v>
      </c>
      <c r="F10" s="43" t="s">
        <v>1131</v>
      </c>
    </row>
    <row r="11" customFormat="false" ht="45.75" hidden="false" customHeight="true" outlineLevel="0" collapsed="false">
      <c r="B11" s="45" t="s">
        <v>1132</v>
      </c>
      <c r="C11" s="43" t="s">
        <v>1133</v>
      </c>
      <c r="D11" s="42" t="s">
        <v>154</v>
      </c>
      <c r="E11" s="47" t="s">
        <v>1124</v>
      </c>
      <c r="F11" s="43" t="s">
        <v>1134</v>
      </c>
    </row>
    <row r="12" customFormat="false" ht="60" hidden="false" customHeight="true" outlineLevel="0" collapsed="false">
      <c r="B12" s="45" t="s">
        <v>1135</v>
      </c>
      <c r="C12" s="43" t="s">
        <v>1136</v>
      </c>
      <c r="D12" s="42" t="s">
        <v>154</v>
      </c>
      <c r="E12" s="47" t="s">
        <v>1124</v>
      </c>
      <c r="F12" s="43" t="s">
        <v>1137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B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5"/>
  </cols>
  <sheetData>
    <row r="1" customFormat="false" ht="7.5" hidden="false" customHeight="true" outlineLevel="0" collapsed="false"/>
    <row r="2" customFormat="false" ht="30" hidden="false" customHeight="true" outlineLevel="0" collapsed="false">
      <c r="B2" s="1" t="s">
        <v>1138</v>
      </c>
    </row>
    <row r="3" customFormat="false" ht="15" hidden="false" customHeight="false" outlineLevel="0" collapsed="false">
      <c r="B3" s="2" t="s">
        <v>1139</v>
      </c>
    </row>
    <row r="4" customFormat="false" ht="6" hidden="false" customHeight="true" outlineLevel="0" collapsed="false">
      <c r="B4" s="3"/>
      <c r="C4" s="3"/>
    </row>
    <row r="6" customFormat="false" ht="30" hidden="false" customHeight="true" outlineLevel="0" collapsed="false">
      <c r="B6" s="14" t="s">
        <v>361</v>
      </c>
      <c r="C6" s="14" t="s">
        <v>362</v>
      </c>
    </row>
    <row r="7" customFormat="false" ht="18" hidden="false" customHeight="true" outlineLevel="0" collapsed="false">
      <c r="B7" s="48" t="s">
        <v>1140</v>
      </c>
      <c r="C7" s="49" t="s">
        <v>1141</v>
      </c>
    </row>
    <row r="8" customFormat="false" ht="18" hidden="false" customHeight="true" outlineLevel="0" collapsed="false">
      <c r="B8" s="50" t="s">
        <v>1142</v>
      </c>
      <c r="C8" s="51" t="s">
        <v>1143</v>
      </c>
    </row>
    <row r="9" customFormat="false" ht="18" hidden="false" customHeight="true" outlineLevel="0" collapsed="false">
      <c r="B9" s="48" t="s">
        <v>1144</v>
      </c>
      <c r="C9" s="49" t="s">
        <v>1145</v>
      </c>
    </row>
    <row r="10" customFormat="false" ht="31.5" hidden="false" customHeight="true" outlineLevel="0" collapsed="false">
      <c r="B10" s="50" t="s">
        <v>1146</v>
      </c>
      <c r="C10" s="51" t="s">
        <v>1147</v>
      </c>
    </row>
    <row r="11" customFormat="false" ht="18" hidden="false" customHeight="true" outlineLevel="0" collapsed="false">
      <c r="B11" s="48" t="s">
        <v>1148</v>
      </c>
      <c r="C11" s="49" t="s">
        <v>1149</v>
      </c>
    </row>
    <row r="12" customFormat="false" ht="18" hidden="false" customHeight="true" outlineLevel="0" collapsed="false">
      <c r="B12" s="50" t="s">
        <v>1150</v>
      </c>
      <c r="C12" s="51" t="s">
        <v>1151</v>
      </c>
    </row>
    <row r="13" customFormat="false" ht="18" hidden="false" customHeight="true" outlineLevel="0" collapsed="false">
      <c r="B13" s="48" t="s">
        <v>1152</v>
      </c>
      <c r="C13" s="49" t="s">
        <v>1153</v>
      </c>
    </row>
    <row r="14" customFormat="false" ht="18" hidden="false" customHeight="true" outlineLevel="0" collapsed="false">
      <c r="B14" s="50" t="s">
        <v>1154</v>
      </c>
      <c r="C14" s="51" t="s">
        <v>1155</v>
      </c>
    </row>
    <row r="15" customFormat="false" ht="18" hidden="false" customHeight="true" outlineLevel="0" collapsed="false">
      <c r="B15" s="48" t="s">
        <v>1156</v>
      </c>
      <c r="C15" s="49" t="s">
        <v>1157</v>
      </c>
    </row>
    <row r="16" customFormat="false" ht="18" hidden="false" customHeight="true" outlineLevel="0" collapsed="false">
      <c r="B16" s="50" t="s">
        <v>1158</v>
      </c>
      <c r="C16" s="51" t="s">
        <v>1159</v>
      </c>
    </row>
    <row r="17" customFormat="false" ht="18" hidden="false" customHeight="true" outlineLevel="0" collapsed="false">
      <c r="B17" s="48" t="s">
        <v>1160</v>
      </c>
      <c r="C17" s="49" t="s">
        <v>1161</v>
      </c>
    </row>
    <row r="18" customFormat="false" ht="18" hidden="false" customHeight="true" outlineLevel="0" collapsed="false">
      <c r="B18" s="50" t="s">
        <v>1162</v>
      </c>
      <c r="C18" s="51" t="s">
        <v>1163</v>
      </c>
    </row>
    <row r="19" customFormat="false" ht="18" hidden="false" customHeight="true" outlineLevel="0" collapsed="false">
      <c r="B19" s="48" t="s">
        <v>1164</v>
      </c>
      <c r="C19" s="49" t="s">
        <v>1165</v>
      </c>
    </row>
    <row r="20" customFormat="false" ht="18" hidden="false" customHeight="true" outlineLevel="0" collapsed="false">
      <c r="B20" s="50" t="s">
        <v>1166</v>
      </c>
      <c r="C20" s="51" t="s">
        <v>1167</v>
      </c>
    </row>
    <row r="21" customFormat="false" ht="18" hidden="false" customHeight="true" outlineLevel="0" collapsed="false">
      <c r="B21" s="48" t="s">
        <v>1168</v>
      </c>
      <c r="C21" s="49" t="s">
        <v>1169</v>
      </c>
    </row>
    <row r="22" customFormat="false" ht="18" hidden="false" customHeight="true" outlineLevel="0" collapsed="false">
      <c r="B22" s="50" t="s">
        <v>1170</v>
      </c>
      <c r="C22" s="51" t="s">
        <v>1171</v>
      </c>
    </row>
    <row r="23" customFormat="false" ht="18" hidden="false" customHeight="true" outlineLevel="0" collapsed="false">
      <c r="B23" s="48" t="s">
        <v>1172</v>
      </c>
      <c r="C23" s="49" t="s">
        <v>1173</v>
      </c>
    </row>
    <row r="24" customFormat="false" ht="18" hidden="false" customHeight="true" outlineLevel="0" collapsed="false">
      <c r="B24" s="50" t="s">
        <v>1174</v>
      </c>
      <c r="C24" s="51" t="s">
        <v>1175</v>
      </c>
    </row>
    <row r="25" customFormat="false" ht="18" hidden="false" customHeight="true" outlineLevel="0" collapsed="false">
      <c r="B25" s="48" t="s">
        <v>1176</v>
      </c>
      <c r="C25" s="49" t="s">
        <v>1177</v>
      </c>
    </row>
    <row r="26" customFormat="false" ht="31.5" hidden="false" customHeight="true" outlineLevel="0" collapsed="false">
      <c r="B26" s="50" t="s">
        <v>1178</v>
      </c>
      <c r="C26" s="51" t="s">
        <v>1179</v>
      </c>
    </row>
    <row r="27" customFormat="false" ht="18" hidden="false" customHeight="true" outlineLevel="0" collapsed="false">
      <c r="B27" s="48" t="s">
        <v>1180</v>
      </c>
      <c r="C27" s="49" t="s">
        <v>1181</v>
      </c>
    </row>
    <row r="28" customFormat="false" ht="18" hidden="false" customHeight="true" outlineLevel="0" collapsed="false">
      <c r="B28" s="50" t="s">
        <v>1182</v>
      </c>
      <c r="C28" s="51" t="s">
        <v>1183</v>
      </c>
    </row>
    <row r="29" customFormat="false" ht="18" hidden="false" customHeight="true" outlineLevel="0" collapsed="false">
      <c r="B29" s="48" t="s">
        <v>1184</v>
      </c>
      <c r="C29" s="49" t="s">
        <v>1185</v>
      </c>
    </row>
    <row r="30" customFormat="false" ht="18" hidden="false" customHeight="true" outlineLevel="0" collapsed="false">
      <c r="B30" s="50" t="s">
        <v>1186</v>
      </c>
      <c r="C30" s="51" t="s">
        <v>1187</v>
      </c>
    </row>
    <row r="31" customFormat="false" ht="18" hidden="false" customHeight="true" outlineLevel="0" collapsed="false">
      <c r="B31" s="48" t="s">
        <v>1188</v>
      </c>
      <c r="C31" s="49" t="s">
        <v>1189</v>
      </c>
    </row>
    <row r="32" customFormat="false" ht="18" hidden="false" customHeight="true" outlineLevel="0" collapsed="false">
      <c r="B32" s="50" t="s">
        <v>1190</v>
      </c>
      <c r="C32" s="51" t="s">
        <v>1191</v>
      </c>
    </row>
    <row r="33" customFormat="false" ht="18" hidden="false" customHeight="true" outlineLevel="0" collapsed="false">
      <c r="B33" s="48" t="s">
        <v>1192</v>
      </c>
      <c r="C33" s="49" t="s">
        <v>1193</v>
      </c>
    </row>
    <row r="34" customFormat="false" ht="18" hidden="false" customHeight="true" outlineLevel="0" collapsed="false">
      <c r="B34" s="50" t="s">
        <v>1194</v>
      </c>
      <c r="C34" s="51" t="s">
        <v>1195</v>
      </c>
    </row>
    <row r="35" customFormat="false" ht="18" hidden="false" customHeight="true" outlineLevel="0" collapsed="false">
      <c r="B35" s="48" t="s">
        <v>1196</v>
      </c>
      <c r="C35" s="49" t="s">
        <v>1197</v>
      </c>
    </row>
    <row r="36" customFormat="false" ht="18" hidden="false" customHeight="true" outlineLevel="0" collapsed="false">
      <c r="B36" s="50" t="s">
        <v>1198</v>
      </c>
      <c r="C36" s="51" t="s">
        <v>1199</v>
      </c>
    </row>
    <row r="37" customFormat="false" ht="18" hidden="false" customHeight="true" outlineLevel="0" collapsed="false">
      <c r="B37" s="48" t="s">
        <v>1200</v>
      </c>
      <c r="C37" s="49" t="s">
        <v>1201</v>
      </c>
    </row>
  </sheetData>
  <autoFilter ref="B6:C3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2026-10-28T02:54:53Z</dcterms:created>
  <dc:creator>openpyxl</dc:creator>
  <dc:description/>
  <dc:language>en-US</dc:language>
  <cp:lastModifiedBy/>
  <dcterms:modified xsi:type="dcterms:W3CDTF">2026-10-28T02:54:53Z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